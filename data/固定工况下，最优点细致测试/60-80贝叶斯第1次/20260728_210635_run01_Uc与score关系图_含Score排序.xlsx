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实验数据\10， Ua100，Ia80 最终成果\60-80贝叶斯第1次\文字报告\"/>
    </mc:Choice>
  </mc:AlternateContent>
  <xr:revisionPtr revIDLastSave="0" documentId="8_{6901AFD4-3090-4706-A568-8BF2B8790046}" xr6:coauthVersionLast="47" xr6:coauthVersionMax="47" xr10:uidLastSave="{00000000-0000-0000-0000-000000000000}"/>
  <bookViews>
    <workbookView xWindow="-98" yWindow="-98" windowWidth="23596" windowHeight="15076" xr2:uid="{4932A791-38B6-4428-9903-F343DAB4A19C}"/>
  </bookViews>
  <sheets>
    <sheet name="弃用候选" sheetId="5" r:id="rId1"/>
    <sheet name="Uc分段统计" sheetId="4" r:id="rId2"/>
    <sheet name="Score排序" sheetId="3" r:id="rId3"/>
    <sheet name="有效原始数据" sheetId="2" r:id="rId4"/>
    <sheet name="Uc-score关系图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<sst xmlns="http://schemas.openxmlformats.org/spreadsheetml/2006/main" count="111" uniqueCount="44">
  <si>
    <t>迭代</t>
  </si>
  <si>
    <t>Uc设定(V)</t>
  </si>
  <si>
    <t>Uc反馈(V)</t>
  </si>
  <si>
    <t>Uc反馈差(V)</t>
  </si>
  <si>
    <t>score</t>
  </si>
  <si>
    <t>x1</t>
  </si>
  <si>
    <t>x2</t>
  </si>
  <si>
    <t>Ua反馈(kV)</t>
  </si>
  <si>
    <t>Ug反馈(V)</t>
  </si>
  <si>
    <t>三拍相对差</t>
  </si>
  <si>
    <t>排名</t>
  </si>
  <si>
    <t>接受拍次</t>
  </si>
  <si>
    <t>第1拍score</t>
  </si>
  <si>
    <t>第2拍score</t>
  </si>
  <si>
    <t>第3拍score</t>
  </si>
  <si>
    <t>2, 3</t>
  </si>
  <si>
    <t>1, 3</t>
  </si>
  <si>
    <t>1, 2</t>
  </si>
  <si>
    <t>Uc区间(V)</t>
  </si>
  <si>
    <t>候选数</t>
  </si>
  <si>
    <t>平均score</t>
  </si>
  <si>
    <t>中位数score</t>
  </si>
  <si>
    <t>最低score</t>
  </si>
  <si>
    <t>最高score</t>
  </si>
  <si>
    <t>500–550</t>
  </si>
  <si>
    <t>550–600</t>
  </si>
  <si>
    <t>600–650</t>
  </si>
  <si>
    <t>650–675</t>
  </si>
  <si>
    <t>675–700</t>
  </si>
  <si>
    <t>700–750</t>
  </si>
  <si>
    <t>失败记录文件格式无法读取，未导入弃用候选明细</t>
  </si>
  <si>
    <t>Uc 与 score 关系图（运行 20260728_210635_run01）</t>
  </si>
  <si>
    <t>指标</t>
  </si>
  <si>
    <t>数值</t>
  </si>
  <si>
    <t>结论</t>
  </si>
  <si>
    <t>有效候选数</t>
  </si>
  <si>
    <t>最佳 Uc设定(V)</t>
  </si>
  <si>
    <t>最低 score</t>
  </si>
  <si>
    <t>Pearson r</t>
  </si>
  <si>
    <t>线性模型 R²</t>
  </si>
  <si>
    <t>最佳点</t>
  </si>
  <si>
    <t>最低 score=28.9482，出现在 Uc=535 V（迭代 28）。</t>
  </si>
  <si>
    <t>说明</t>
  </si>
  <si>
    <t>完整数据、Score 排序及 Uc 分段统计见对应工作表。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</si>
</sst>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%"/>
  </numFmts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Microsoft YaHei"/>
      <family val="2"/>
      <charset val="134"/>
    </font>
    <font>
      <b/>
      <sz val="9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10">
    <border>
      <left/>
      <right/>
      <top/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 style="thin">
        <color rgb="FFD4DEE6"/>
      </bottom>
      <diagonal/>
    </border>
    <border>
      <left style="thin">
        <color rgb="FFD4DEE6"/>
      </left>
      <right/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/>
      <top/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/>
      <top style="thin">
        <color rgb="FFD4DEE6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0" fontId="2" fillId="0" borderId="2" xfId="0" applyFont="1" applyFill="1" applyBorder="1">
      <alignment vertical="center"/>
    </xf>
    <xf numFmtId="177" fontId="2" fillId="0" borderId="3" xfId="0" applyNumberFormat="1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176" fontId="2" fillId="0" borderId="8" xfId="0" applyNumberFormat="1" applyFont="1" applyFill="1" applyBorder="1">
      <alignment vertical="center"/>
    </xf>
    <xf numFmtId="177" fontId="2" fillId="0" borderId="9" xfId="0" applyNumberFormat="1" applyFont="1" applyFill="1" applyBorder="1">
      <alignment vertical="center"/>
    </xf>
    <xf numFmtId="176" fontId="2" fillId="0" borderId="3" xfId="0" applyNumberFormat="1" applyFont="1" applyFill="1" applyBorder="1">
      <alignment vertical="center"/>
    </xf>
    <xf numFmtId="0" fontId="2" fillId="0" borderId="8" xfId="0" applyFont="1" applyFill="1" applyBorder="1">
      <alignment vertical="center"/>
    </xf>
    <xf numFmtId="177" fontId="2" fillId="0" borderId="8" xfId="0" applyNumberFormat="1" applyFont="1" applyFill="1" applyBorder="1">
      <alignment vertical="center"/>
    </xf>
    <xf numFmtId="176" fontId="2" fillId="0" borderId="9" xfId="0" applyNumberFormat="1" applyFont="1" applyFill="1" applyBorder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</cellXfs>
  <cellStyles count="1">
    <cellStyle name="常规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设定值与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有效原始数据!$B$2:$B$61</c:f>
              <c:numCache>
                <c:formatCode>0.0000</c:formatCode>
                <c:ptCount val="60"/>
                <c:pt idx="0">
                  <c:v>735</c:v>
                </c:pt>
                <c:pt idx="1">
                  <c:v>638</c:v>
                </c:pt>
                <c:pt idx="2">
                  <c:v>557</c:v>
                </c:pt>
                <c:pt idx="3">
                  <c:v>504</c:v>
                </c:pt>
                <c:pt idx="4">
                  <c:v>586</c:v>
                </c:pt>
                <c:pt idx="5">
                  <c:v>625</c:v>
                </c:pt>
                <c:pt idx="6">
                  <c:v>668</c:v>
                </c:pt>
                <c:pt idx="7">
                  <c:v>656</c:v>
                </c:pt>
                <c:pt idx="8">
                  <c:v>542</c:v>
                </c:pt>
                <c:pt idx="9">
                  <c:v>706</c:v>
                </c:pt>
                <c:pt idx="10">
                  <c:v>693</c:v>
                </c:pt>
                <c:pt idx="11">
                  <c:v>527</c:v>
                </c:pt>
                <c:pt idx="12">
                  <c:v>721</c:v>
                </c:pt>
                <c:pt idx="13">
                  <c:v>569</c:v>
                </c:pt>
                <c:pt idx="14">
                  <c:v>601</c:v>
                </c:pt>
                <c:pt idx="15">
                  <c:v>750</c:v>
                </c:pt>
                <c:pt idx="16">
                  <c:v>613</c:v>
                </c:pt>
                <c:pt idx="17">
                  <c:v>680</c:v>
                </c:pt>
                <c:pt idx="18">
                  <c:v>516</c:v>
                </c:pt>
                <c:pt idx="19">
                  <c:v>577</c:v>
                </c:pt>
                <c:pt idx="20">
                  <c:v>624</c:v>
                </c:pt>
                <c:pt idx="21">
                  <c:v>623</c:v>
                </c:pt>
                <c:pt idx="22">
                  <c:v>622</c:v>
                </c:pt>
                <c:pt idx="23">
                  <c:v>594</c:v>
                </c:pt>
                <c:pt idx="24">
                  <c:v>550</c:v>
                </c:pt>
                <c:pt idx="25">
                  <c:v>713</c:v>
                </c:pt>
                <c:pt idx="26">
                  <c:v>674</c:v>
                </c:pt>
                <c:pt idx="27">
                  <c:v>535</c:v>
                </c:pt>
                <c:pt idx="28">
                  <c:v>728</c:v>
                </c:pt>
                <c:pt idx="29">
                  <c:v>662</c:v>
                </c:pt>
                <c:pt idx="30">
                  <c:v>534</c:v>
                </c:pt>
                <c:pt idx="31">
                  <c:v>536</c:v>
                </c:pt>
                <c:pt idx="32">
                  <c:v>533</c:v>
                </c:pt>
                <c:pt idx="33">
                  <c:v>563</c:v>
                </c:pt>
                <c:pt idx="34">
                  <c:v>742</c:v>
                </c:pt>
                <c:pt idx="35">
                  <c:v>686</c:v>
                </c:pt>
                <c:pt idx="36">
                  <c:v>647</c:v>
                </c:pt>
                <c:pt idx="37">
                  <c:v>699</c:v>
                </c:pt>
                <c:pt idx="38">
                  <c:v>590</c:v>
                </c:pt>
                <c:pt idx="39">
                  <c:v>717</c:v>
                </c:pt>
                <c:pt idx="40">
                  <c:v>537</c:v>
                </c:pt>
                <c:pt idx="41">
                  <c:v>532</c:v>
                </c:pt>
                <c:pt idx="42">
                  <c:v>538</c:v>
                </c:pt>
                <c:pt idx="43">
                  <c:v>632</c:v>
                </c:pt>
                <c:pt idx="44">
                  <c:v>651</c:v>
                </c:pt>
                <c:pt idx="45">
                  <c:v>582</c:v>
                </c:pt>
                <c:pt idx="46">
                  <c:v>746</c:v>
                </c:pt>
                <c:pt idx="47">
                  <c:v>607</c:v>
                </c:pt>
                <c:pt idx="48">
                  <c:v>659</c:v>
                </c:pt>
                <c:pt idx="49">
                  <c:v>598</c:v>
                </c:pt>
                <c:pt idx="50">
                  <c:v>531</c:v>
                </c:pt>
                <c:pt idx="51">
                  <c:v>539</c:v>
                </c:pt>
                <c:pt idx="52">
                  <c:v>530</c:v>
                </c:pt>
                <c:pt idx="53">
                  <c:v>725</c:v>
                </c:pt>
                <c:pt idx="54">
                  <c:v>643</c:v>
                </c:pt>
                <c:pt idx="55">
                  <c:v>665</c:v>
                </c:pt>
                <c:pt idx="56">
                  <c:v>702</c:v>
                </c:pt>
                <c:pt idx="57">
                  <c:v>566</c:v>
                </c:pt>
                <c:pt idx="58">
                  <c:v>618</c:v>
                </c:pt>
                <c:pt idx="59">
                  <c:v>671</c:v>
                </c:pt>
              </c:numCache>
            </c:numRef>
          </c:xVal>
          <c:yVal>
            <c:numRef>
              <c:f>有效原始数据!$E$2:$E$61</c:f>
              <c:numCache>
                <c:formatCode>0.0000</c:formatCode>
                <c:ptCount val="60"/>
                <c:pt idx="0">
                  <c:v>35.642849999999996</c:v>
                </c:pt>
                <c:pt idx="1">
                  <c:v>32.098349999999996</c:v>
                </c:pt>
                <c:pt idx="2">
                  <c:v>34.342799999999997</c:v>
                </c:pt>
                <c:pt idx="3">
                  <c:v>34.693899999999999</c:v>
                </c:pt>
                <c:pt idx="4">
                  <c:v>35.169799999999995</c:v>
                </c:pt>
                <c:pt idx="5">
                  <c:v>32.096200000000003</c:v>
                </c:pt>
                <c:pt idx="6">
                  <c:v>33.585850000000001</c:v>
                </c:pt>
                <c:pt idx="7">
                  <c:v>32.980000000000004</c:v>
                </c:pt>
                <c:pt idx="8">
                  <c:v>33.097650000000002</c:v>
                </c:pt>
                <c:pt idx="9">
                  <c:v>35.040599999999998</c:v>
                </c:pt>
                <c:pt idx="10">
                  <c:v>34.595349999999996</c:v>
                </c:pt>
                <c:pt idx="11">
                  <c:v>32.948350000000005</c:v>
                </c:pt>
                <c:pt idx="12">
                  <c:v>34.780549999999998</c:v>
                </c:pt>
                <c:pt idx="13">
                  <c:v>34.054549999999999</c:v>
                </c:pt>
                <c:pt idx="14">
                  <c:v>34.800650000000005</c:v>
                </c:pt>
                <c:pt idx="15">
                  <c:v>35.514800000000001</c:v>
                </c:pt>
                <c:pt idx="16">
                  <c:v>33.793750000000003</c:v>
                </c:pt>
                <c:pt idx="17">
                  <c:v>33.131</c:v>
                </c:pt>
                <c:pt idx="18">
                  <c:v>33.402299999999997</c:v>
                </c:pt>
                <c:pt idx="19">
                  <c:v>34.685450000000003</c:v>
                </c:pt>
                <c:pt idx="20">
                  <c:v>31.174150000000001</c:v>
                </c:pt>
                <c:pt idx="21">
                  <c:v>31.2377</c:v>
                </c:pt>
                <c:pt idx="22">
                  <c:v>30.875350000000001</c:v>
                </c:pt>
                <c:pt idx="23">
                  <c:v>34.98115</c:v>
                </c:pt>
                <c:pt idx="24">
                  <c:v>33.284050000000001</c:v>
                </c:pt>
                <c:pt idx="25">
                  <c:v>34.6858</c:v>
                </c:pt>
                <c:pt idx="26">
                  <c:v>33.766449999999999</c:v>
                </c:pt>
                <c:pt idx="27">
                  <c:v>28.9482</c:v>
                </c:pt>
                <c:pt idx="28">
                  <c:v>35.923249999999996</c:v>
                </c:pt>
                <c:pt idx="29">
                  <c:v>33.24145</c:v>
                </c:pt>
                <c:pt idx="30">
                  <c:v>29.11515</c:v>
                </c:pt>
                <c:pt idx="31">
                  <c:v>33.1755</c:v>
                </c:pt>
                <c:pt idx="32">
                  <c:v>29.1297</c:v>
                </c:pt>
                <c:pt idx="33">
                  <c:v>34.770350000000001</c:v>
                </c:pt>
                <c:pt idx="34">
                  <c:v>35.895499999999998</c:v>
                </c:pt>
                <c:pt idx="35">
                  <c:v>34.867350000000002</c:v>
                </c:pt>
                <c:pt idx="36">
                  <c:v>32.476100000000002</c:v>
                </c:pt>
                <c:pt idx="37">
                  <c:v>34.902100000000004</c:v>
                </c:pt>
                <c:pt idx="38">
                  <c:v>36.036299999999997</c:v>
                </c:pt>
                <c:pt idx="39">
                  <c:v>35.377300000000005</c:v>
                </c:pt>
                <c:pt idx="40">
                  <c:v>34.494500000000002</c:v>
                </c:pt>
                <c:pt idx="41">
                  <c:v>34.02975</c:v>
                </c:pt>
                <c:pt idx="42">
                  <c:v>29.681950000000001</c:v>
                </c:pt>
                <c:pt idx="43">
                  <c:v>32.253950000000003</c:v>
                </c:pt>
                <c:pt idx="44">
                  <c:v>33.179850000000002</c:v>
                </c:pt>
                <c:pt idx="45">
                  <c:v>35.810050000000004</c:v>
                </c:pt>
                <c:pt idx="46">
                  <c:v>36.476050000000001</c:v>
                </c:pt>
                <c:pt idx="47">
                  <c:v>33.606400000000001</c:v>
                </c:pt>
                <c:pt idx="48">
                  <c:v>33.773250000000004</c:v>
                </c:pt>
                <c:pt idx="49">
                  <c:v>36.042499999999997</c:v>
                </c:pt>
                <c:pt idx="50">
                  <c:v>29.648299999999999</c:v>
                </c:pt>
                <c:pt idx="51">
                  <c:v>29.420200000000001</c:v>
                </c:pt>
                <c:pt idx="52">
                  <c:v>29.649000000000001</c:v>
                </c:pt>
                <c:pt idx="53">
                  <c:v>35.366300000000003</c:v>
                </c:pt>
                <c:pt idx="54">
                  <c:v>32.809899999999999</c:v>
                </c:pt>
                <c:pt idx="55">
                  <c:v>33.911299999999997</c:v>
                </c:pt>
                <c:pt idx="56">
                  <c:v>34.752650000000003</c:v>
                </c:pt>
                <c:pt idx="57">
                  <c:v>34.197800000000001</c:v>
                </c:pt>
                <c:pt idx="58">
                  <c:v>35.892499999999998</c:v>
                </c:pt>
                <c:pt idx="59">
                  <c:v>32.78425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C-4BE5-BF89-ABFC0CFBA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016240"/>
        <c:axId val="1902320560"/>
      </c:scatterChart>
      <c:valAx>
        <c:axId val="1900016240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设定值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902320560"/>
        <c:crosses val="autoZero"/>
        <c:crossBetween val="midCat"/>
        <c:majorUnit val="25"/>
      </c:valAx>
      <c:valAx>
        <c:axId val="1902320560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900016240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反馈值与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有效原始数据!$C$2:$C$61</c:f>
              <c:numCache>
                <c:formatCode>0.0000</c:formatCode>
                <c:ptCount val="60"/>
                <c:pt idx="0">
                  <c:v>739.31623931623926</c:v>
                </c:pt>
                <c:pt idx="1">
                  <c:v>642.85714285714289</c:v>
                </c:pt>
                <c:pt idx="2">
                  <c:v>561.050061050061</c:v>
                </c:pt>
                <c:pt idx="3">
                  <c:v>507.93650793650789</c:v>
                </c:pt>
                <c:pt idx="4">
                  <c:v>589.74358974358972</c:v>
                </c:pt>
                <c:pt idx="5">
                  <c:v>629.42612942612948</c:v>
                </c:pt>
                <c:pt idx="6">
                  <c:v>672.7716727716728</c:v>
                </c:pt>
                <c:pt idx="7">
                  <c:v>660.56166056166057</c:v>
                </c:pt>
                <c:pt idx="8">
                  <c:v>545.78754578754581</c:v>
                </c:pt>
                <c:pt idx="9">
                  <c:v>710.62271062271066</c:v>
                </c:pt>
                <c:pt idx="10">
                  <c:v>697.80219780219784</c:v>
                </c:pt>
                <c:pt idx="11">
                  <c:v>531.1355311355311</c:v>
                </c:pt>
                <c:pt idx="12">
                  <c:v>725.27472527472526</c:v>
                </c:pt>
                <c:pt idx="13">
                  <c:v>573.26007326007323</c:v>
                </c:pt>
                <c:pt idx="14">
                  <c:v>605.00610500610503</c:v>
                </c:pt>
                <c:pt idx="15">
                  <c:v>754.57875457875457</c:v>
                </c:pt>
                <c:pt idx="16">
                  <c:v>617.21611721611725</c:v>
                </c:pt>
                <c:pt idx="17">
                  <c:v>684.37118437118443</c:v>
                </c:pt>
                <c:pt idx="18">
                  <c:v>520.14652014652017</c:v>
                </c:pt>
                <c:pt idx="19">
                  <c:v>581.19658119658118</c:v>
                </c:pt>
                <c:pt idx="20">
                  <c:v>628.20512820512818</c:v>
                </c:pt>
                <c:pt idx="21">
                  <c:v>626.98412698412699</c:v>
                </c:pt>
                <c:pt idx="22">
                  <c:v>626.37362637362639</c:v>
                </c:pt>
                <c:pt idx="23">
                  <c:v>597.68009768009767</c:v>
                </c:pt>
                <c:pt idx="24">
                  <c:v>553.72405372405376</c:v>
                </c:pt>
                <c:pt idx="25">
                  <c:v>717.33821733821731</c:v>
                </c:pt>
                <c:pt idx="26">
                  <c:v>678.87667887667885</c:v>
                </c:pt>
                <c:pt idx="27">
                  <c:v>539.07203907203905</c:v>
                </c:pt>
                <c:pt idx="28">
                  <c:v>732.60073260073261</c:v>
                </c:pt>
                <c:pt idx="29">
                  <c:v>666.66666666666663</c:v>
                </c:pt>
                <c:pt idx="30">
                  <c:v>537.85103785103786</c:v>
                </c:pt>
                <c:pt idx="31">
                  <c:v>539.68253968253964</c:v>
                </c:pt>
                <c:pt idx="32">
                  <c:v>537.24053724053726</c:v>
                </c:pt>
                <c:pt idx="33">
                  <c:v>567.15506715506717</c:v>
                </c:pt>
                <c:pt idx="34">
                  <c:v>746.64224664224662</c:v>
                </c:pt>
                <c:pt idx="35">
                  <c:v>690.47619047619048</c:v>
                </c:pt>
                <c:pt idx="36">
                  <c:v>651.40415140415143</c:v>
                </c:pt>
                <c:pt idx="37">
                  <c:v>702.68620268620271</c:v>
                </c:pt>
                <c:pt idx="38">
                  <c:v>594.017094017094</c:v>
                </c:pt>
                <c:pt idx="39">
                  <c:v>721.61172161172158</c:v>
                </c:pt>
                <c:pt idx="40">
                  <c:v>540.90354090354094</c:v>
                </c:pt>
                <c:pt idx="41">
                  <c:v>536.01953601953608</c:v>
                </c:pt>
                <c:pt idx="42">
                  <c:v>542.12454212454213</c:v>
                </c:pt>
                <c:pt idx="43">
                  <c:v>636.75213675213672</c:v>
                </c:pt>
                <c:pt idx="44">
                  <c:v>655.67765567765571</c:v>
                </c:pt>
                <c:pt idx="45">
                  <c:v>586.08058608058604</c:v>
                </c:pt>
                <c:pt idx="46">
                  <c:v>750.3052503052503</c:v>
                </c:pt>
                <c:pt idx="47">
                  <c:v>611.11111111111109</c:v>
                </c:pt>
                <c:pt idx="48">
                  <c:v>663.61416361416366</c:v>
                </c:pt>
                <c:pt idx="49">
                  <c:v>601.95360195360195</c:v>
                </c:pt>
                <c:pt idx="50">
                  <c:v>534.79853479853477</c:v>
                </c:pt>
                <c:pt idx="51">
                  <c:v>542.73504273504273</c:v>
                </c:pt>
                <c:pt idx="52">
                  <c:v>534.18803418803418</c:v>
                </c:pt>
                <c:pt idx="53">
                  <c:v>729.54822954822953</c:v>
                </c:pt>
                <c:pt idx="54">
                  <c:v>647.74114774114776</c:v>
                </c:pt>
                <c:pt idx="55">
                  <c:v>669.71916971916971</c:v>
                </c:pt>
                <c:pt idx="56">
                  <c:v>706.34920634920638</c:v>
                </c:pt>
                <c:pt idx="57">
                  <c:v>570.20757020757026</c:v>
                </c:pt>
                <c:pt idx="58">
                  <c:v>622.10012210012212</c:v>
                </c:pt>
                <c:pt idx="59">
                  <c:v>675.82417582417577</c:v>
                </c:pt>
              </c:numCache>
            </c:numRef>
          </c:xVal>
          <c:yVal>
            <c:numRef>
              <c:f>有效原始数据!$E$2:$E$61</c:f>
              <c:numCache>
                <c:formatCode>0.0000</c:formatCode>
                <c:ptCount val="60"/>
                <c:pt idx="0">
                  <c:v>35.642849999999996</c:v>
                </c:pt>
                <c:pt idx="1">
                  <c:v>32.098349999999996</c:v>
                </c:pt>
                <c:pt idx="2">
                  <c:v>34.342799999999997</c:v>
                </c:pt>
                <c:pt idx="3">
                  <c:v>34.693899999999999</c:v>
                </c:pt>
                <c:pt idx="4">
                  <c:v>35.169799999999995</c:v>
                </c:pt>
                <c:pt idx="5">
                  <c:v>32.096200000000003</c:v>
                </c:pt>
                <c:pt idx="6">
                  <c:v>33.585850000000001</c:v>
                </c:pt>
                <c:pt idx="7">
                  <c:v>32.980000000000004</c:v>
                </c:pt>
                <c:pt idx="8">
                  <c:v>33.097650000000002</c:v>
                </c:pt>
                <c:pt idx="9">
                  <c:v>35.040599999999998</c:v>
                </c:pt>
                <c:pt idx="10">
                  <c:v>34.595349999999996</c:v>
                </c:pt>
                <c:pt idx="11">
                  <c:v>32.948350000000005</c:v>
                </c:pt>
                <c:pt idx="12">
                  <c:v>34.780549999999998</c:v>
                </c:pt>
                <c:pt idx="13">
                  <c:v>34.054549999999999</c:v>
                </c:pt>
                <c:pt idx="14">
                  <c:v>34.800650000000005</c:v>
                </c:pt>
                <c:pt idx="15">
                  <c:v>35.514800000000001</c:v>
                </c:pt>
                <c:pt idx="16">
                  <c:v>33.793750000000003</c:v>
                </c:pt>
                <c:pt idx="17">
                  <c:v>33.131</c:v>
                </c:pt>
                <c:pt idx="18">
                  <c:v>33.402299999999997</c:v>
                </c:pt>
                <c:pt idx="19">
                  <c:v>34.685450000000003</c:v>
                </c:pt>
                <c:pt idx="20">
                  <c:v>31.174150000000001</c:v>
                </c:pt>
                <c:pt idx="21">
                  <c:v>31.2377</c:v>
                </c:pt>
                <c:pt idx="22">
                  <c:v>30.875350000000001</c:v>
                </c:pt>
                <c:pt idx="23">
                  <c:v>34.98115</c:v>
                </c:pt>
                <c:pt idx="24">
                  <c:v>33.284050000000001</c:v>
                </c:pt>
                <c:pt idx="25">
                  <c:v>34.6858</c:v>
                </c:pt>
                <c:pt idx="26">
                  <c:v>33.766449999999999</c:v>
                </c:pt>
                <c:pt idx="27">
                  <c:v>28.9482</c:v>
                </c:pt>
                <c:pt idx="28">
                  <c:v>35.923249999999996</c:v>
                </c:pt>
                <c:pt idx="29">
                  <c:v>33.24145</c:v>
                </c:pt>
                <c:pt idx="30">
                  <c:v>29.11515</c:v>
                </c:pt>
                <c:pt idx="31">
                  <c:v>33.1755</c:v>
                </c:pt>
                <c:pt idx="32">
                  <c:v>29.1297</c:v>
                </c:pt>
                <c:pt idx="33">
                  <c:v>34.770350000000001</c:v>
                </c:pt>
                <c:pt idx="34">
                  <c:v>35.895499999999998</c:v>
                </c:pt>
                <c:pt idx="35">
                  <c:v>34.867350000000002</c:v>
                </c:pt>
                <c:pt idx="36">
                  <c:v>32.476100000000002</c:v>
                </c:pt>
                <c:pt idx="37">
                  <c:v>34.902100000000004</c:v>
                </c:pt>
                <c:pt idx="38">
                  <c:v>36.036299999999997</c:v>
                </c:pt>
                <c:pt idx="39">
                  <c:v>35.377300000000005</c:v>
                </c:pt>
                <c:pt idx="40">
                  <c:v>34.494500000000002</c:v>
                </c:pt>
                <c:pt idx="41">
                  <c:v>34.02975</c:v>
                </c:pt>
                <c:pt idx="42">
                  <c:v>29.681950000000001</c:v>
                </c:pt>
                <c:pt idx="43">
                  <c:v>32.253950000000003</c:v>
                </c:pt>
                <c:pt idx="44">
                  <c:v>33.179850000000002</c:v>
                </c:pt>
                <c:pt idx="45">
                  <c:v>35.810050000000004</c:v>
                </c:pt>
                <c:pt idx="46">
                  <c:v>36.476050000000001</c:v>
                </c:pt>
                <c:pt idx="47">
                  <c:v>33.606400000000001</c:v>
                </c:pt>
                <c:pt idx="48">
                  <c:v>33.773250000000004</c:v>
                </c:pt>
                <c:pt idx="49">
                  <c:v>36.042499999999997</c:v>
                </c:pt>
                <c:pt idx="50">
                  <c:v>29.648299999999999</c:v>
                </c:pt>
                <c:pt idx="51">
                  <c:v>29.420200000000001</c:v>
                </c:pt>
                <c:pt idx="52">
                  <c:v>29.649000000000001</c:v>
                </c:pt>
                <c:pt idx="53">
                  <c:v>35.366300000000003</c:v>
                </c:pt>
                <c:pt idx="54">
                  <c:v>32.809899999999999</c:v>
                </c:pt>
                <c:pt idx="55">
                  <c:v>33.911299999999997</c:v>
                </c:pt>
                <c:pt idx="56">
                  <c:v>34.752650000000003</c:v>
                </c:pt>
                <c:pt idx="57">
                  <c:v>34.197800000000001</c:v>
                </c:pt>
                <c:pt idx="58">
                  <c:v>35.892499999999998</c:v>
                </c:pt>
                <c:pt idx="59">
                  <c:v>32.78425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D-4B98-A274-EB8CEEBF5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016240"/>
        <c:axId val="1902322960"/>
      </c:scatterChart>
      <c:valAx>
        <c:axId val="1900016240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反馈值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902322960"/>
        <c:crosses val="autoZero"/>
        <c:crossBetween val="midCat"/>
        <c:majorUnit val="25"/>
      </c:valAx>
      <c:valAx>
        <c:axId val="1902322960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900016240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3175</xdr:rowOff>
    </xdr:from>
    <xdr:to>
      <xdr:col>10</xdr:col>
      <xdr:colOff>117475</xdr:colOff>
      <xdr:row>37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2150EA7-0BEC-4BDF-1DF3-C729061F6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15</xdr:row>
      <xdr:rowOff>3175</xdr:rowOff>
    </xdr:from>
    <xdr:to>
      <xdr:col>21</xdr:col>
      <xdr:colOff>168275</xdr:colOff>
      <xdr:row>37</xdr:row>
      <xdr:rowOff>63500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1BB7E0E-05A0-58D0-EF14-C47DFCF6E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D2259-56BD-4929-BA51-1E881B8C74B0}" name="Score排序表" displayName="Score排序表" ref="A1:O61" totalsRowShown="0" headerRowDxfId="0" dataDxfId="1" headerRowBorderDxfId="18" tableBorderDxfId="19" totalsRowBorderDxfId="17">
  <autoFilter ref="A1:O61" xr:uid="{A7ED2259-56BD-4929-BA51-1E881B8C74B0}"/>
  <tableColumns count="15">
    <tableColumn id="1" xr3:uid="{B9A9CFDC-E1FB-45B1-B473-6B0075C9B6AB}" name="排名" dataDxfId="16"/>
    <tableColumn id="2" xr3:uid="{BD1D15D2-326D-4FF9-A477-24CBC11B367A}" name="迭代" dataDxfId="15"/>
    <tableColumn id="3" xr3:uid="{2A1E214D-A1AF-45B0-83F1-14ED0988C25C}" name="score" dataDxfId="14"/>
    <tableColumn id="4" xr3:uid="{45F964C5-BF48-47EB-90F6-B11CA2E15451}" name="x1" dataDxfId="13"/>
    <tableColumn id="5" xr3:uid="{EF97901A-F30B-4753-B631-3A2AF58B83D0}" name="x2" dataDxfId="12"/>
    <tableColumn id="6" xr3:uid="{EAC0B7A6-201B-41AA-A638-C6F89CBFE6B1}" name="Uc设定(V)" dataDxfId="11"/>
    <tableColumn id="7" xr3:uid="{7CCA5B81-3530-444D-AE9F-A9319F0F1389}" name="Uc反馈(V)" dataDxfId="10"/>
    <tableColumn id="8" xr3:uid="{66488B6E-B5DC-4B69-9DFA-78849CE19C2C}" name="Uc反馈差(V)" dataDxfId="9"/>
    <tableColumn id="9" xr3:uid="{4CC30A56-0C6D-48A3-871A-F2812120104A}" name="Ua反馈(kV)" dataDxfId="8"/>
    <tableColumn id="10" xr3:uid="{5E018E7C-8D1C-42F8-A51A-C3CD498818D4}" name="Ug反馈(V)" dataDxfId="7"/>
    <tableColumn id="11" xr3:uid="{AC14D4B3-5C83-49CE-B156-AF35F6926452}" name="三拍相对差" dataDxfId="6"/>
    <tableColumn id="12" xr3:uid="{1D62EBB0-A1B5-4127-B508-615C9CF111FF}" name="接受拍次" dataDxfId="5"/>
    <tableColumn id="13" xr3:uid="{893A755A-5F1B-409D-AF67-0FD9910A419B}" name="第1拍score" dataDxfId="4"/>
    <tableColumn id="14" xr3:uid="{0C81533E-54D6-4DD2-A3D8-68D74252B9FA}" name="第2拍score" dataDxfId="3"/>
    <tableColumn id="15" xr3:uid="{4E0299C9-85CE-4FE7-91FD-0F4E6DBC1B7A}" name="第3拍scor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D6278-B6DE-462C-B397-265AA7086FEB}" name="有效原始数据表" displayName="有效原始数据表" ref="A1:J61" totalsRowShown="0" headerRowDxfId="20" dataDxfId="21" headerRowBorderDxfId="33" tableBorderDxfId="34" totalsRowBorderDxfId="32">
  <autoFilter ref="A1:J61" xr:uid="{B76D6278-B6DE-462C-B397-265AA7086FEB}"/>
  <tableColumns count="10">
    <tableColumn id="1" xr3:uid="{4BF22FE4-0A5A-4237-89F6-9B37E669DDBF}" name="迭代" dataDxfId="31"/>
    <tableColumn id="2" xr3:uid="{930798A4-517A-457B-A25F-1DF885004436}" name="Uc设定(V)" dataDxfId="30"/>
    <tableColumn id="3" xr3:uid="{3327493B-9378-4952-B971-1C8ACBE3333B}" name="Uc反馈(V)" dataDxfId="29"/>
    <tableColumn id="4" xr3:uid="{8532ED4A-997F-4F8C-A72A-65DDFD6A4BB6}" name="Uc反馈差(V)" dataDxfId="28"/>
    <tableColumn id="5" xr3:uid="{0C838140-C90A-4F1B-85DF-3C7A39880583}" name="score" dataDxfId="27"/>
    <tableColumn id="6" xr3:uid="{65718662-86CB-4FF1-9063-0EBFC9E63B06}" name="x1" dataDxfId="26"/>
    <tableColumn id="7" xr3:uid="{F7C1E976-A07E-46DD-A0E6-190956B2B482}" name="x2" dataDxfId="25"/>
    <tableColumn id="8" xr3:uid="{0283227D-D628-4960-BB91-8DBAA4985789}" name="Ua反馈(kV)" dataDxfId="24"/>
    <tableColumn id="9" xr3:uid="{DEF1C3F3-C070-47A5-8AAA-B259EEF1CF39}" name="Ug反馈(V)" dataDxfId="23"/>
    <tableColumn id="10" xr3:uid="{E7AD0DA3-E38F-4F0F-AEBC-C22C2A7235DF}" name="三拍相对差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CE3E-5A48-4340-9E77-8A226C48566E}">
  <dimension ref="A1:E1"/>
  <sheetViews>
    <sheetView tabSelected="1" workbookViewId="0"/>
  </sheetViews>
  <sheetFormatPr defaultRowHeight="13.9"/>
  <sheetData>
    <row r="1" spans="1:5" ht="15.75">
      <c r="A1" s="18" t="s">
        <v>30</v>
      </c>
      <c r="B1" s="17"/>
      <c r="C1" s="17"/>
      <c r="D1" s="17"/>
      <c r="E1" s="17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BBB7-23B0-4158-BD5D-1DB153F3D76D}">
  <dimension ref="A1:F7"/>
  <sheetViews>
    <sheetView workbookViewId="0"/>
  </sheetViews>
  <sheetFormatPr defaultRowHeight="13.9"/>
  <cols>
    <col min="1" max="1" width="8.6640625" bestFit="1" customWidth="1"/>
    <col min="2" max="2" width="7.06640625" bestFit="1" customWidth="1"/>
    <col min="3" max="3" width="8.53125" bestFit="1" customWidth="1"/>
    <col min="4" max="4" width="10.1328125" bestFit="1" customWidth="1"/>
    <col min="5" max="6" width="8.53125" bestFit="1" customWidth="1"/>
  </cols>
  <sheetData>
    <row r="1" spans="1:6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>
      <c r="A2" s="1" t="s">
        <v>24</v>
      </c>
      <c r="B2" s="3">
        <v>15</v>
      </c>
      <c r="C2" s="3">
        <v>31.6479</v>
      </c>
      <c r="D2" s="3">
        <v>32.948350000000005</v>
      </c>
      <c r="E2" s="3">
        <v>28.9482</v>
      </c>
      <c r="F2" s="3">
        <v>34.693899999999999</v>
      </c>
    </row>
    <row r="3" spans="1:6">
      <c r="A3" s="1" t="s">
        <v>25</v>
      </c>
      <c r="B3" s="3">
        <v>11</v>
      </c>
      <c r="C3" s="3">
        <v>34.852254545454542</v>
      </c>
      <c r="D3" s="3">
        <v>34.770350000000001</v>
      </c>
      <c r="E3" s="3">
        <v>33.284050000000001</v>
      </c>
      <c r="F3" s="3">
        <v>36.042499999999997</v>
      </c>
    </row>
    <row r="4" spans="1:6">
      <c r="A4" s="1" t="s">
        <v>26</v>
      </c>
      <c r="B4" s="3">
        <v>12</v>
      </c>
      <c r="C4" s="3">
        <v>32.759583333333332</v>
      </c>
      <c r="D4" s="3">
        <v>32.253950000000003</v>
      </c>
      <c r="E4" s="3">
        <v>30.875350000000001</v>
      </c>
      <c r="F4" s="3">
        <v>35.892499999999998</v>
      </c>
    </row>
    <row r="5" spans="1:6">
      <c r="A5" s="1" t="s">
        <v>27</v>
      </c>
      <c r="B5" s="3">
        <v>8</v>
      </c>
      <c r="C5" s="3">
        <v>33.402799999999999</v>
      </c>
      <c r="D5" s="3">
        <v>33.24145</v>
      </c>
      <c r="E5" s="3">
        <v>32.78425</v>
      </c>
      <c r="F5" s="3">
        <v>33.911299999999997</v>
      </c>
    </row>
    <row r="6" spans="1:6">
      <c r="A6" s="1" t="s">
        <v>28</v>
      </c>
      <c r="B6" s="3">
        <v>4</v>
      </c>
      <c r="C6" s="3">
        <v>34.373950000000001</v>
      </c>
      <c r="D6" s="3">
        <v>34.595349999999996</v>
      </c>
      <c r="E6" s="3">
        <v>33.131</v>
      </c>
      <c r="F6" s="3">
        <v>34.902100000000004</v>
      </c>
    </row>
    <row r="7" spans="1:6">
      <c r="A7" s="1" t="s">
        <v>29</v>
      </c>
      <c r="B7" s="3">
        <v>11</v>
      </c>
      <c r="C7" s="3">
        <v>35.405059090909084</v>
      </c>
      <c r="D7" s="3">
        <v>35.377300000000005</v>
      </c>
      <c r="E7" s="3">
        <v>34.6858</v>
      </c>
      <c r="F7" s="3">
        <v>36.476050000000001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9070-131F-4155-9432-7062DE53D1B7}">
  <dimension ref="A1:O61"/>
  <sheetViews>
    <sheetView workbookViewId="0"/>
  </sheetViews>
  <sheetFormatPr defaultRowHeight="13.9"/>
  <cols>
    <col min="1" max="2" width="5.796875" customWidth="1"/>
    <col min="3" max="5" width="7.06640625" bestFit="1" customWidth="1"/>
    <col min="6" max="7" width="10.19921875" customWidth="1"/>
    <col min="8" max="8" width="11.796875" customWidth="1"/>
    <col min="9" max="9" width="11.265625" customWidth="1"/>
    <col min="10" max="10" width="10.46484375" customWidth="1"/>
    <col min="11" max="11" width="10.59765625" customWidth="1"/>
    <col min="12" max="12" width="9" customWidth="1"/>
    <col min="13" max="15" width="11.06640625" customWidth="1"/>
  </cols>
  <sheetData>
    <row r="1" spans="1:15">
      <c r="A1" s="7" t="s">
        <v>10</v>
      </c>
      <c r="B1" s="8" t="s">
        <v>0</v>
      </c>
      <c r="C1" s="8" t="s">
        <v>4</v>
      </c>
      <c r="D1" s="8" t="s">
        <v>5</v>
      </c>
      <c r="E1" s="8" t="s">
        <v>6</v>
      </c>
      <c r="F1" s="8" t="s">
        <v>1</v>
      </c>
      <c r="G1" s="8" t="s">
        <v>2</v>
      </c>
      <c r="H1" s="8" t="s">
        <v>3</v>
      </c>
      <c r="I1" s="8" t="s">
        <v>7</v>
      </c>
      <c r="J1" s="8" t="s">
        <v>8</v>
      </c>
      <c r="K1" s="8" t="s">
        <v>9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5">
      <c r="A2" s="5">
        <v>1</v>
      </c>
      <c r="B2" s="1">
        <v>28</v>
      </c>
      <c r="C2" s="3">
        <v>28.9482</v>
      </c>
      <c r="D2" s="3">
        <v>15.878500000000001</v>
      </c>
      <c r="E2" s="3">
        <v>24.203849999999999</v>
      </c>
      <c r="F2" s="3">
        <v>535</v>
      </c>
      <c r="G2" s="3">
        <v>539.07203907203905</v>
      </c>
      <c r="H2" s="3">
        <v>4.0720390720389998</v>
      </c>
      <c r="I2" s="3">
        <v>99.721217669947364</v>
      </c>
      <c r="J2" s="3">
        <v>61.650263218127719</v>
      </c>
      <c r="K2" s="4">
        <v>1.4311641171896291E-3</v>
      </c>
      <c r="L2" s="1" t="s">
        <v>15</v>
      </c>
      <c r="M2" s="3">
        <v>30.324300000000001</v>
      </c>
      <c r="N2" s="3">
        <v>28.968900000000001</v>
      </c>
      <c r="O2" s="13">
        <v>28.927499999999998</v>
      </c>
    </row>
    <row r="3" spans="1:15">
      <c r="A3" s="5">
        <v>2</v>
      </c>
      <c r="B3" s="1">
        <v>31</v>
      </c>
      <c r="C3" s="3">
        <v>29.11515</v>
      </c>
      <c r="D3" s="3">
        <v>16.244450000000001</v>
      </c>
      <c r="E3" s="3">
        <v>24.145399999999999</v>
      </c>
      <c r="F3" s="3">
        <v>534</v>
      </c>
      <c r="G3" s="3">
        <v>537.85103785103786</v>
      </c>
      <c r="H3" s="3">
        <v>3.8510378510379</v>
      </c>
      <c r="I3" s="3">
        <v>99.721217669947364</v>
      </c>
      <c r="J3" s="3">
        <v>61.50148775463493</v>
      </c>
      <c r="K3" s="4">
        <v>3.8426397538358248E-2</v>
      </c>
      <c r="L3" s="1" t="s">
        <v>16</v>
      </c>
      <c r="M3" s="3">
        <v>29.664000000000001</v>
      </c>
      <c r="N3" s="3">
        <v>34.162999999999997</v>
      </c>
      <c r="O3" s="13">
        <v>28.566299999999998</v>
      </c>
    </row>
    <row r="4" spans="1:15">
      <c r="A4" s="5">
        <v>3</v>
      </c>
      <c r="B4" s="1">
        <v>33</v>
      </c>
      <c r="C4" s="3">
        <v>29.1297</v>
      </c>
      <c r="D4" s="3">
        <v>16.00055</v>
      </c>
      <c r="E4" s="3">
        <v>24.341750000000001</v>
      </c>
      <c r="F4" s="3">
        <v>533</v>
      </c>
      <c r="G4" s="3">
        <v>537.24053724053726</v>
      </c>
      <c r="H4" s="3">
        <v>4.2405372405373001</v>
      </c>
      <c r="I4" s="3">
        <v>99.718242160677505</v>
      </c>
      <c r="J4" s="3">
        <v>61.299305714503703</v>
      </c>
      <c r="K4" s="4">
        <v>1.7984004211970096E-2</v>
      </c>
      <c r="L4" s="1" t="s">
        <v>17</v>
      </c>
      <c r="M4" s="3">
        <v>28.870100000000001</v>
      </c>
      <c r="N4" s="3">
        <v>29.389299999999999</v>
      </c>
      <c r="O4" s="13">
        <v>32.658700000000003</v>
      </c>
    </row>
    <row r="5" spans="1:15">
      <c r="A5" s="5">
        <v>4</v>
      </c>
      <c r="B5" s="1">
        <v>53</v>
      </c>
      <c r="C5" s="3">
        <v>29.420200000000001</v>
      </c>
      <c r="D5" s="3">
        <v>16.255499999999998</v>
      </c>
      <c r="E5" s="3">
        <v>24.520900000000001</v>
      </c>
      <c r="F5" s="3">
        <v>539</v>
      </c>
      <c r="G5" s="3">
        <v>542.73504273504273</v>
      </c>
      <c r="H5" s="3">
        <v>3.7350427350427</v>
      </c>
      <c r="I5" s="3">
        <v>99.721217669947364</v>
      </c>
      <c r="J5" s="3">
        <v>62.237735561150529</v>
      </c>
      <c r="K5" s="4">
        <v>9.9609214877161966E-3</v>
      </c>
      <c r="L5" s="1" t="s">
        <v>16</v>
      </c>
      <c r="M5" s="3">
        <v>29.565999999999999</v>
      </c>
      <c r="N5" s="3">
        <v>34.040599999999998</v>
      </c>
      <c r="O5" s="13">
        <v>29.2744</v>
      </c>
    </row>
    <row r="6" spans="1:15">
      <c r="A6" s="5">
        <v>5</v>
      </c>
      <c r="B6" s="1">
        <v>52</v>
      </c>
      <c r="C6" s="3">
        <v>29.648299999999999</v>
      </c>
      <c r="D6" s="3">
        <v>17.4893</v>
      </c>
      <c r="E6" s="3">
        <v>23.93675</v>
      </c>
      <c r="F6" s="3">
        <v>531</v>
      </c>
      <c r="G6" s="3">
        <v>534.79853479853477</v>
      </c>
      <c r="H6" s="3">
        <v>3.7985347985348001</v>
      </c>
      <c r="I6" s="3">
        <v>99.721217669947364</v>
      </c>
      <c r="J6" s="3">
        <v>61.169604028381784</v>
      </c>
      <c r="K6" s="4">
        <v>7.7878191736108198E-3</v>
      </c>
      <c r="L6" s="1" t="s">
        <v>17</v>
      </c>
      <c r="M6" s="3">
        <v>29.763300000000001</v>
      </c>
      <c r="N6" s="3">
        <v>29.533300000000001</v>
      </c>
      <c r="O6" s="13">
        <v>29.0307</v>
      </c>
    </row>
    <row r="7" spans="1:15">
      <c r="A7" s="5">
        <v>6</v>
      </c>
      <c r="B7" s="1">
        <v>54</v>
      </c>
      <c r="C7" s="3">
        <v>29.649000000000001</v>
      </c>
      <c r="D7" s="3">
        <v>17.7104</v>
      </c>
      <c r="E7" s="3">
        <v>23.777249999999999</v>
      </c>
      <c r="F7" s="3">
        <v>530</v>
      </c>
      <c r="G7" s="3">
        <v>534.18803418803418</v>
      </c>
      <c r="H7" s="3">
        <v>4.1880341880341998</v>
      </c>
      <c r="I7" s="3">
        <v>99.721217669947364</v>
      </c>
      <c r="J7" s="3">
        <v>60.96742198825055</v>
      </c>
      <c r="K7" s="4">
        <v>8.093601313940324E-3</v>
      </c>
      <c r="L7" s="1" t="s">
        <v>16</v>
      </c>
      <c r="M7" s="3">
        <v>29.529499999999999</v>
      </c>
      <c r="N7" s="3">
        <v>33.930199999999999</v>
      </c>
      <c r="O7" s="13">
        <v>29.7685</v>
      </c>
    </row>
    <row r="8" spans="1:15">
      <c r="A8" s="5">
        <v>7</v>
      </c>
      <c r="B8" s="1">
        <v>44</v>
      </c>
      <c r="C8" s="3">
        <v>29.681950000000001</v>
      </c>
      <c r="D8" s="3">
        <v>16.291899999999998</v>
      </c>
      <c r="E8" s="3">
        <v>24.810650000000003</v>
      </c>
      <c r="F8" s="3">
        <v>538</v>
      </c>
      <c r="G8" s="3">
        <v>542.12454212454213</v>
      </c>
      <c r="H8" s="3">
        <v>4.1245421245421001</v>
      </c>
      <c r="I8" s="3">
        <v>99.721217669947364</v>
      </c>
      <c r="J8" s="3">
        <v>62.130922407873655</v>
      </c>
      <c r="K8" s="4">
        <v>4.5010518211869681E-3</v>
      </c>
      <c r="L8" s="1" t="s">
        <v>17</v>
      </c>
      <c r="M8" s="3">
        <v>29.7486</v>
      </c>
      <c r="N8" s="3">
        <v>29.615300000000001</v>
      </c>
      <c r="O8" s="13">
        <v>34.318899999999999</v>
      </c>
    </row>
    <row r="9" spans="1:15">
      <c r="A9" s="5">
        <v>8</v>
      </c>
      <c r="B9" s="1">
        <v>23</v>
      </c>
      <c r="C9" s="3">
        <v>30.875350000000001</v>
      </c>
      <c r="D9" s="3">
        <v>16.884650000000001</v>
      </c>
      <c r="E9" s="3">
        <v>25.849299999999999</v>
      </c>
      <c r="F9" s="3">
        <v>622</v>
      </c>
      <c r="G9" s="3">
        <v>626.37362637362639</v>
      </c>
      <c r="H9" s="3">
        <v>4.3736263736263998</v>
      </c>
      <c r="I9" s="3">
        <v>99.721217669947364</v>
      </c>
      <c r="J9" s="3">
        <v>73.533226520180051</v>
      </c>
      <c r="K9" s="4">
        <v>1.8251251329132055E-3</v>
      </c>
      <c r="L9" s="1" t="s">
        <v>17</v>
      </c>
      <c r="M9" s="3">
        <v>30.847200000000001</v>
      </c>
      <c r="N9" s="3">
        <v>30.903500000000001</v>
      </c>
      <c r="O9" s="13">
        <v>31.247199999999999</v>
      </c>
    </row>
    <row r="10" spans="1:15">
      <c r="A10" s="5">
        <v>9</v>
      </c>
      <c r="B10" s="1">
        <v>21</v>
      </c>
      <c r="C10" s="3">
        <v>31.174150000000001</v>
      </c>
      <c r="D10" s="3">
        <v>17.2424</v>
      </c>
      <c r="E10" s="3">
        <v>25.971550000000001</v>
      </c>
      <c r="F10" s="3">
        <v>624</v>
      </c>
      <c r="G10" s="3">
        <v>628.20512820512818</v>
      </c>
      <c r="H10" s="3">
        <v>4.2051282051282</v>
      </c>
      <c r="I10" s="3">
        <v>99.718242160677505</v>
      </c>
      <c r="J10" s="3">
        <v>73.750667582207981</v>
      </c>
      <c r="K10" s="4">
        <v>2.2777874022319799E-4</v>
      </c>
      <c r="L10" s="1" t="s">
        <v>16</v>
      </c>
      <c r="M10" s="3">
        <v>31.1706</v>
      </c>
      <c r="N10" s="3">
        <v>30.927199999999999</v>
      </c>
      <c r="O10" s="13">
        <v>31.177700000000002</v>
      </c>
    </row>
    <row r="11" spans="1:15">
      <c r="A11" s="5">
        <v>10</v>
      </c>
      <c r="B11" s="1">
        <v>22</v>
      </c>
      <c r="C11" s="3">
        <v>31.2377</v>
      </c>
      <c r="D11" s="3">
        <v>17.185450000000003</v>
      </c>
      <c r="E11" s="3">
        <v>26.08325</v>
      </c>
      <c r="F11" s="3">
        <v>623</v>
      </c>
      <c r="G11" s="3">
        <v>626.98412698412699</v>
      </c>
      <c r="H11" s="3">
        <v>3.9841269841270002</v>
      </c>
      <c r="I11" s="3">
        <v>99.721217669947364</v>
      </c>
      <c r="J11" s="3">
        <v>73.651483939879455</v>
      </c>
      <c r="K11" s="4">
        <v>1.6200498923731873E-2</v>
      </c>
      <c r="L11" s="1" t="s">
        <v>17</v>
      </c>
      <c r="M11" s="3">
        <v>31.488700000000001</v>
      </c>
      <c r="N11" s="3">
        <v>30.986699999999999</v>
      </c>
      <c r="O11" s="13">
        <v>30.404800000000002</v>
      </c>
    </row>
    <row r="12" spans="1:15">
      <c r="A12" s="5">
        <v>11</v>
      </c>
      <c r="B12" s="1">
        <v>6</v>
      </c>
      <c r="C12" s="3">
        <v>32.096200000000003</v>
      </c>
      <c r="D12" s="3">
        <v>18.139500000000002</v>
      </c>
      <c r="E12" s="3">
        <v>26.478649999999998</v>
      </c>
      <c r="F12" s="3">
        <v>625</v>
      </c>
      <c r="G12" s="3">
        <v>629.42612942612948</v>
      </c>
      <c r="H12" s="3">
        <v>4.4261294261295001</v>
      </c>
      <c r="I12" s="3">
        <v>99.721217669947364</v>
      </c>
      <c r="J12" s="3">
        <v>73.620965896086062</v>
      </c>
      <c r="K12" s="4">
        <v>1.8961011420267199E-3</v>
      </c>
      <c r="L12" s="1" t="s">
        <v>17</v>
      </c>
      <c r="M12" s="3">
        <v>32.126600000000003</v>
      </c>
      <c r="N12" s="3">
        <v>32.065800000000003</v>
      </c>
      <c r="O12" s="13">
        <v>31.574400000000001</v>
      </c>
    </row>
    <row r="13" spans="1:15">
      <c r="A13" s="5">
        <v>12</v>
      </c>
      <c r="B13" s="1">
        <v>2</v>
      </c>
      <c r="C13" s="3">
        <v>32.098349999999996</v>
      </c>
      <c r="D13" s="3">
        <v>16.918949999999999</v>
      </c>
      <c r="E13" s="3">
        <v>27.274149999999999</v>
      </c>
      <c r="F13" s="3">
        <v>638</v>
      </c>
      <c r="G13" s="3">
        <v>642.85714285714289</v>
      </c>
      <c r="H13" s="3">
        <v>4.8571428571429003</v>
      </c>
      <c r="I13" s="3">
        <v>99.721217669947364</v>
      </c>
      <c r="J13" s="3">
        <v>75.818265049210339</v>
      </c>
      <c r="K13" s="4">
        <v>1.2082518429366643E-2</v>
      </c>
      <c r="L13" s="1" t="s">
        <v>16</v>
      </c>
      <c r="M13" s="3">
        <v>31.9056</v>
      </c>
      <c r="N13" s="3">
        <v>31.247599999999998</v>
      </c>
      <c r="O13" s="13">
        <v>32.2911</v>
      </c>
    </row>
    <row r="14" spans="1:15">
      <c r="A14" s="5">
        <v>13</v>
      </c>
      <c r="B14" s="1">
        <v>45</v>
      </c>
      <c r="C14" s="3">
        <v>32.253950000000003</v>
      </c>
      <c r="D14" s="3">
        <v>17.225099999999998</v>
      </c>
      <c r="E14" s="3">
        <v>27.266950000000001</v>
      </c>
      <c r="F14" s="3">
        <v>632</v>
      </c>
      <c r="G14" s="3">
        <v>636.75213675213672</v>
      </c>
      <c r="H14" s="3">
        <v>4.7521367521366997</v>
      </c>
      <c r="I14" s="3">
        <v>99.721217669947364</v>
      </c>
      <c r="J14" s="3">
        <v>75.169756618600744</v>
      </c>
      <c r="K14" s="4">
        <v>1.0023961536903568E-2</v>
      </c>
      <c r="L14" s="1" t="s">
        <v>15</v>
      </c>
      <c r="M14" s="3">
        <v>31.0046</v>
      </c>
      <c r="N14" s="3">
        <v>32.0931</v>
      </c>
      <c r="O14" s="13">
        <v>32.4148</v>
      </c>
    </row>
    <row r="15" spans="1:15">
      <c r="A15" s="5">
        <v>14</v>
      </c>
      <c r="B15" s="1">
        <v>38</v>
      </c>
      <c r="C15" s="3">
        <v>32.476100000000002</v>
      </c>
      <c r="D15" s="3">
        <v>17.384799999999998</v>
      </c>
      <c r="E15" s="3">
        <v>27.429450000000003</v>
      </c>
      <c r="F15" s="3">
        <v>647</v>
      </c>
      <c r="G15" s="3">
        <v>651.40415140415143</v>
      </c>
      <c r="H15" s="3">
        <v>4.4041514041514001</v>
      </c>
      <c r="I15" s="3">
        <v>99.721217669947364</v>
      </c>
      <c r="J15" s="3">
        <v>77.279316395819023</v>
      </c>
      <c r="K15" s="4">
        <v>7.7028885832187647E-3</v>
      </c>
      <c r="L15" s="1" t="s">
        <v>16</v>
      </c>
      <c r="M15" s="3">
        <v>32.600700000000003</v>
      </c>
      <c r="N15" s="3">
        <v>35.338099999999997</v>
      </c>
      <c r="O15" s="13">
        <v>32.351500000000001</v>
      </c>
    </row>
    <row r="16" spans="1:15">
      <c r="A16" s="5">
        <v>15</v>
      </c>
      <c r="B16" s="1">
        <v>61</v>
      </c>
      <c r="C16" s="3">
        <v>32.78425</v>
      </c>
      <c r="D16" s="3">
        <v>16.33905</v>
      </c>
      <c r="E16" s="3">
        <v>28.420400000000001</v>
      </c>
      <c r="F16" s="3">
        <v>671</v>
      </c>
      <c r="G16" s="3">
        <v>675.82417582417577</v>
      </c>
      <c r="H16" s="3">
        <v>4.8241758241757999</v>
      </c>
      <c r="I16" s="3">
        <v>99.724193179217195</v>
      </c>
      <c r="J16" s="3">
        <v>80.930037384603651</v>
      </c>
      <c r="K16" s="4">
        <v>6.9388966939996719E-3</v>
      </c>
      <c r="L16" s="1" t="s">
        <v>15</v>
      </c>
      <c r="M16" s="3">
        <v>33.627600000000001</v>
      </c>
      <c r="N16" s="3">
        <v>32.670900000000003</v>
      </c>
      <c r="O16" s="13">
        <v>32.897599999999997</v>
      </c>
    </row>
    <row r="17" spans="1:15">
      <c r="A17" s="5">
        <v>16</v>
      </c>
      <c r="B17" s="1">
        <v>56</v>
      </c>
      <c r="C17" s="3">
        <v>32.809899999999999</v>
      </c>
      <c r="D17" s="3">
        <v>17.626449999999998</v>
      </c>
      <c r="E17" s="3">
        <v>27.67305</v>
      </c>
      <c r="F17" s="3">
        <v>643</v>
      </c>
      <c r="G17" s="3">
        <v>647.74114774114776</v>
      </c>
      <c r="H17" s="3">
        <v>4.7411477411477998</v>
      </c>
      <c r="I17" s="3">
        <v>99.721217669947364</v>
      </c>
      <c r="J17" s="3">
        <v>76.802471961547269</v>
      </c>
      <c r="K17" s="4">
        <v>9.0867510291207801E-4</v>
      </c>
      <c r="L17" s="1" t="s">
        <v>16</v>
      </c>
      <c r="M17" s="3">
        <v>32.824800000000003</v>
      </c>
      <c r="N17" s="3">
        <v>32.040900000000001</v>
      </c>
      <c r="O17" s="13">
        <v>32.795000000000002</v>
      </c>
    </row>
    <row r="18" spans="1:15">
      <c r="A18" s="5">
        <v>17</v>
      </c>
      <c r="B18" s="1">
        <v>12</v>
      </c>
      <c r="C18" s="3">
        <v>32.948350000000005</v>
      </c>
      <c r="D18" s="3">
        <v>18.517700000000001</v>
      </c>
      <c r="E18" s="3">
        <v>27.239649999999997</v>
      </c>
      <c r="F18" s="3">
        <v>527</v>
      </c>
      <c r="G18" s="3">
        <v>531.1355311355311</v>
      </c>
      <c r="H18" s="3">
        <v>4.1355311355311004</v>
      </c>
      <c r="I18" s="3">
        <v>99.721217669947364</v>
      </c>
      <c r="J18" s="3">
        <v>60.345616845960173</v>
      </c>
      <c r="K18" s="4">
        <v>3.288879017007397E-2</v>
      </c>
      <c r="L18" s="1" t="s">
        <v>15</v>
      </c>
      <c r="M18" s="3">
        <v>29.315000000000001</v>
      </c>
      <c r="N18" s="3">
        <v>33.481400000000001</v>
      </c>
      <c r="O18" s="13">
        <v>32.415300000000002</v>
      </c>
    </row>
    <row r="19" spans="1:15">
      <c r="A19" s="5">
        <v>18</v>
      </c>
      <c r="B19" s="1">
        <v>8</v>
      </c>
      <c r="C19" s="3">
        <v>32.980000000000004</v>
      </c>
      <c r="D19" s="3">
        <v>17.799849999999999</v>
      </c>
      <c r="E19" s="3">
        <v>27.763449999999999</v>
      </c>
      <c r="F19" s="3">
        <v>656</v>
      </c>
      <c r="G19" s="3">
        <v>660.56166056166057</v>
      </c>
      <c r="H19" s="3">
        <v>4.5616605616605996</v>
      </c>
      <c r="I19" s="3">
        <v>99.721217669947364</v>
      </c>
      <c r="J19" s="3">
        <v>78.072785534447249</v>
      </c>
      <c r="K19" s="4">
        <v>1.7601893720979585E-3</v>
      </c>
      <c r="L19" s="1" t="s">
        <v>17</v>
      </c>
      <c r="M19" s="3">
        <v>32.951000000000001</v>
      </c>
      <c r="N19" s="3">
        <v>33.009</v>
      </c>
      <c r="O19" s="13">
        <v>33.1068</v>
      </c>
    </row>
    <row r="20" spans="1:15">
      <c r="A20" s="5">
        <v>19</v>
      </c>
      <c r="B20" s="1">
        <v>9</v>
      </c>
      <c r="C20" s="3">
        <v>33.097650000000002</v>
      </c>
      <c r="D20" s="3">
        <v>15.994199999999999</v>
      </c>
      <c r="E20" s="3">
        <v>28.97645</v>
      </c>
      <c r="F20" s="3">
        <v>542</v>
      </c>
      <c r="G20" s="3">
        <v>545.78754578754581</v>
      </c>
      <c r="H20" s="3">
        <v>3.7875457875457998</v>
      </c>
      <c r="I20" s="3">
        <v>99.721217669947364</v>
      </c>
      <c r="J20" s="3">
        <v>62.333104448004882</v>
      </c>
      <c r="K20" s="4">
        <v>1.1581087364125177E-2</v>
      </c>
      <c r="L20" s="1" t="s">
        <v>15</v>
      </c>
      <c r="M20" s="3">
        <v>29.691800000000001</v>
      </c>
      <c r="N20" s="3">
        <v>32.9071</v>
      </c>
      <c r="O20" s="13">
        <v>33.288200000000003</v>
      </c>
    </row>
    <row r="21" spans="1:15">
      <c r="A21" s="5">
        <v>20</v>
      </c>
      <c r="B21" s="1">
        <v>18</v>
      </c>
      <c r="C21" s="3">
        <v>33.131</v>
      </c>
      <c r="D21" s="3">
        <v>16.71245</v>
      </c>
      <c r="E21" s="3">
        <v>28.6065</v>
      </c>
      <c r="F21" s="3">
        <v>680</v>
      </c>
      <c r="G21" s="3">
        <v>684.37118437118443</v>
      </c>
      <c r="H21" s="3">
        <v>4.3711843711844001</v>
      </c>
      <c r="I21" s="3">
        <v>99.721217669947364</v>
      </c>
      <c r="J21" s="3">
        <v>81.578545815213246</v>
      </c>
      <c r="K21" s="4">
        <v>2.9320637799439037E-3</v>
      </c>
      <c r="L21" s="1" t="s">
        <v>17</v>
      </c>
      <c r="M21" s="3">
        <v>33.179499999999997</v>
      </c>
      <c r="N21" s="3">
        <v>33.082500000000003</v>
      </c>
      <c r="O21" s="13">
        <v>32.716299999999997</v>
      </c>
    </row>
    <row r="22" spans="1:15">
      <c r="A22" s="5">
        <v>21</v>
      </c>
      <c r="B22" s="1">
        <v>32</v>
      </c>
      <c r="C22" s="3">
        <v>33.1755</v>
      </c>
      <c r="D22" s="3">
        <v>16.0566</v>
      </c>
      <c r="E22" s="3">
        <v>29.004199999999997</v>
      </c>
      <c r="F22" s="3">
        <v>536</v>
      </c>
      <c r="G22" s="3">
        <v>539.68253968253964</v>
      </c>
      <c r="H22" s="3">
        <v>3.6825396825396002</v>
      </c>
      <c r="I22" s="3">
        <v>99.718242160677505</v>
      </c>
      <c r="J22" s="3">
        <v>61.642633707179371</v>
      </c>
      <c r="K22" s="4">
        <v>1.2130217889039006E-2</v>
      </c>
      <c r="L22" s="1" t="s">
        <v>15</v>
      </c>
      <c r="M22" s="3">
        <v>29.278199999999998</v>
      </c>
      <c r="N22" s="3">
        <v>32.975499999999997</v>
      </c>
      <c r="O22" s="13">
        <v>33.375500000000002</v>
      </c>
    </row>
    <row r="23" spans="1:15">
      <c r="A23" s="5">
        <v>22</v>
      </c>
      <c r="B23" s="1">
        <v>46</v>
      </c>
      <c r="C23" s="3">
        <v>33.179850000000002</v>
      </c>
      <c r="D23" s="3">
        <v>16.776000000000003</v>
      </c>
      <c r="E23" s="3">
        <v>28.625499999999999</v>
      </c>
      <c r="F23" s="3">
        <v>651</v>
      </c>
      <c r="G23" s="3">
        <v>655.67765567765571</v>
      </c>
      <c r="H23" s="3">
        <v>4.6776556776557001</v>
      </c>
      <c r="I23" s="3">
        <v>99.721217669947364</v>
      </c>
      <c r="J23" s="3">
        <v>77.893492027161059</v>
      </c>
      <c r="K23" s="4">
        <v>1.4166227111746528E-4</v>
      </c>
      <c r="L23" s="1" t="s">
        <v>16</v>
      </c>
      <c r="M23" s="3">
        <v>33.182200000000002</v>
      </c>
      <c r="N23" s="3">
        <v>33.557099999999998</v>
      </c>
      <c r="O23" s="13">
        <v>33.177500000000002</v>
      </c>
    </row>
    <row r="24" spans="1:15">
      <c r="A24" s="5">
        <v>23</v>
      </c>
      <c r="B24" s="1">
        <v>30</v>
      </c>
      <c r="C24" s="3">
        <v>33.24145</v>
      </c>
      <c r="D24" s="3">
        <v>17.03895</v>
      </c>
      <c r="E24" s="3">
        <v>28.541250000000002</v>
      </c>
      <c r="F24" s="3">
        <v>662</v>
      </c>
      <c r="G24" s="3">
        <v>666.66666666666663</v>
      </c>
      <c r="H24" s="3">
        <v>4.6666666666666003</v>
      </c>
      <c r="I24" s="3">
        <v>99.724193179217195</v>
      </c>
      <c r="J24" s="3">
        <v>79.331654840924699</v>
      </c>
      <c r="K24" s="4">
        <v>3.5651537114668049E-3</v>
      </c>
      <c r="L24" s="1" t="s">
        <v>16</v>
      </c>
      <c r="M24" s="3">
        <v>33.182299999999998</v>
      </c>
      <c r="N24" s="3">
        <v>33.555</v>
      </c>
      <c r="O24" s="13">
        <v>33.300600000000003</v>
      </c>
    </row>
    <row r="25" spans="1:15">
      <c r="A25" s="5">
        <v>24</v>
      </c>
      <c r="B25" s="1">
        <v>25</v>
      </c>
      <c r="C25" s="3">
        <v>33.284050000000001</v>
      </c>
      <c r="D25" s="3">
        <v>15.190149999999999</v>
      </c>
      <c r="E25" s="3">
        <v>29.615100000000002</v>
      </c>
      <c r="F25" s="3">
        <v>550</v>
      </c>
      <c r="G25" s="3">
        <v>553.72405372405376</v>
      </c>
      <c r="H25" s="3">
        <v>3.7240537240538001</v>
      </c>
      <c r="I25" s="3">
        <v>99.721217669947364</v>
      </c>
      <c r="J25" s="3">
        <v>63.576714732585643</v>
      </c>
      <c r="K25" s="4">
        <v>7.2942517436548789E-3</v>
      </c>
      <c r="L25" s="1" t="s">
        <v>15</v>
      </c>
      <c r="M25" s="3">
        <v>29.627600000000001</v>
      </c>
      <c r="N25" s="3">
        <v>33.1631</v>
      </c>
      <c r="O25" s="13">
        <v>33.405000000000001</v>
      </c>
    </row>
    <row r="26" spans="1:15">
      <c r="A26" s="5">
        <v>25</v>
      </c>
      <c r="B26" s="1">
        <v>19</v>
      </c>
      <c r="C26" s="3">
        <v>33.402299999999997</v>
      </c>
      <c r="D26" s="3">
        <v>20.683450000000001</v>
      </c>
      <c r="E26" s="3">
        <v>26.206600000000002</v>
      </c>
      <c r="F26" s="3">
        <v>516</v>
      </c>
      <c r="G26" s="3">
        <v>520.14652014652017</v>
      </c>
      <c r="H26" s="3">
        <v>4.1465201465202002</v>
      </c>
      <c r="I26" s="3">
        <v>99.721217669947364</v>
      </c>
      <c r="J26" s="3">
        <v>58.934157320515752</v>
      </c>
      <c r="K26" s="4">
        <v>3.1065871321987088E-2</v>
      </c>
      <c r="L26" s="1" t="s">
        <v>16</v>
      </c>
      <c r="M26" s="3">
        <v>33.913200000000003</v>
      </c>
      <c r="N26" s="3">
        <v>30.4359</v>
      </c>
      <c r="O26" s="13">
        <v>32.891399999999997</v>
      </c>
    </row>
    <row r="27" spans="1:15">
      <c r="A27" s="5">
        <v>26</v>
      </c>
      <c r="B27" s="1">
        <v>7</v>
      </c>
      <c r="C27" s="3">
        <v>33.585850000000001</v>
      </c>
      <c r="D27" s="3">
        <v>17.56025</v>
      </c>
      <c r="E27" s="3">
        <v>28.629149999999999</v>
      </c>
      <c r="F27" s="3">
        <v>668</v>
      </c>
      <c r="G27" s="3">
        <v>672.7716727716728</v>
      </c>
      <c r="H27" s="3">
        <v>4.7716727716728</v>
      </c>
      <c r="I27" s="3">
        <v>99.721217669947364</v>
      </c>
      <c r="J27" s="3">
        <v>79.686427100022883</v>
      </c>
      <c r="K27" s="4">
        <v>2.9968153246101663E-3</v>
      </c>
      <c r="L27" s="1" t="s">
        <v>15</v>
      </c>
      <c r="M27" s="3">
        <v>33.301699999999997</v>
      </c>
      <c r="N27" s="3">
        <v>33.636099999999999</v>
      </c>
      <c r="O27" s="13">
        <v>33.535600000000002</v>
      </c>
    </row>
    <row r="28" spans="1:15">
      <c r="A28" s="5">
        <v>27</v>
      </c>
      <c r="B28" s="1">
        <v>49</v>
      </c>
      <c r="C28" s="3">
        <v>33.606400000000001</v>
      </c>
      <c r="D28" s="3">
        <v>15.4207</v>
      </c>
      <c r="E28" s="3">
        <v>29.8535</v>
      </c>
      <c r="F28" s="3">
        <v>607</v>
      </c>
      <c r="G28" s="3">
        <v>611.11111111111109</v>
      </c>
      <c r="H28" s="3">
        <v>4.1111111111111001</v>
      </c>
      <c r="I28" s="3">
        <v>99.721217669947364</v>
      </c>
      <c r="J28" s="3">
        <v>71.911955443656055</v>
      </c>
      <c r="K28" s="4">
        <v>3.5592174491082232E-3</v>
      </c>
      <c r="L28" s="1" t="s">
        <v>17</v>
      </c>
      <c r="M28" s="3">
        <v>33.546700000000001</v>
      </c>
      <c r="N28" s="3">
        <v>33.6661</v>
      </c>
      <c r="O28" s="13">
        <v>37.165999999999997</v>
      </c>
    </row>
    <row r="29" spans="1:15">
      <c r="A29" s="5">
        <v>28</v>
      </c>
      <c r="B29" s="1">
        <v>27</v>
      </c>
      <c r="C29" s="3">
        <v>33.766449999999999</v>
      </c>
      <c r="D29" s="3">
        <v>17.144500000000001</v>
      </c>
      <c r="E29" s="3">
        <v>29.090200000000003</v>
      </c>
      <c r="F29" s="3">
        <v>674</v>
      </c>
      <c r="G29" s="3">
        <v>678.87667887667885</v>
      </c>
      <c r="H29" s="3">
        <v>4.8766788766789002</v>
      </c>
      <c r="I29" s="3">
        <v>99.721217669947364</v>
      </c>
      <c r="J29" s="3">
        <v>80.971999694819559</v>
      </c>
      <c r="K29" s="4">
        <v>2.3868683693982918E-3</v>
      </c>
      <c r="L29" s="1" t="s">
        <v>16</v>
      </c>
      <c r="M29" s="3">
        <v>33.806699999999999</v>
      </c>
      <c r="N29" s="3">
        <v>33.491599999999998</v>
      </c>
      <c r="O29" s="13">
        <v>33.726199999999999</v>
      </c>
    </row>
    <row r="30" spans="1:15">
      <c r="A30" s="5">
        <v>29</v>
      </c>
      <c r="B30" s="1">
        <v>50</v>
      </c>
      <c r="C30" s="3">
        <v>33.773250000000004</v>
      </c>
      <c r="D30" s="3">
        <v>17.3507</v>
      </c>
      <c r="E30" s="3">
        <v>28.973649999999999</v>
      </c>
      <c r="F30" s="3">
        <v>659</v>
      </c>
      <c r="G30" s="3">
        <v>663.61416361416366</v>
      </c>
      <c r="H30" s="3">
        <v>4.6141636141636999</v>
      </c>
      <c r="I30" s="3">
        <v>99.721217669947364</v>
      </c>
      <c r="J30" s="3">
        <v>79.087510490577557</v>
      </c>
      <c r="K30" s="4">
        <v>7.5759827378156924E-3</v>
      </c>
      <c r="L30" s="1" t="s">
        <v>17</v>
      </c>
      <c r="M30" s="3">
        <v>33.900700000000001</v>
      </c>
      <c r="N30" s="3">
        <v>33.645800000000001</v>
      </c>
      <c r="O30" s="13">
        <v>32.727899999999998</v>
      </c>
    </row>
    <row r="31" spans="1:15">
      <c r="A31" s="5">
        <v>30</v>
      </c>
      <c r="B31" s="1">
        <v>17</v>
      </c>
      <c r="C31" s="3">
        <v>33.793750000000003</v>
      </c>
      <c r="D31" s="3">
        <v>15.88325</v>
      </c>
      <c r="E31" s="3">
        <v>29.823399999999999</v>
      </c>
      <c r="F31" s="3">
        <v>613</v>
      </c>
      <c r="G31" s="3">
        <v>617.21611721611725</v>
      </c>
      <c r="H31" s="3">
        <v>4.2161172161172997</v>
      </c>
      <c r="I31" s="3">
        <v>99.721217669947364</v>
      </c>
      <c r="J31" s="3">
        <v>72.259098191805904</v>
      </c>
      <c r="K31" s="4">
        <v>3.8869551295354168E-3</v>
      </c>
      <c r="L31" s="1" t="s">
        <v>17</v>
      </c>
      <c r="M31" s="3">
        <v>33.859299999999998</v>
      </c>
      <c r="N31" s="3">
        <v>33.728200000000001</v>
      </c>
      <c r="O31" s="13">
        <v>36.037700000000001</v>
      </c>
    </row>
    <row r="32" spans="1:15">
      <c r="A32" s="5">
        <v>31</v>
      </c>
      <c r="B32" s="1">
        <v>57</v>
      </c>
      <c r="C32" s="3">
        <v>33.911299999999997</v>
      </c>
      <c r="D32" s="3">
        <v>16.698350000000001</v>
      </c>
      <c r="E32" s="3">
        <v>29.514800000000001</v>
      </c>
      <c r="F32" s="3">
        <v>665</v>
      </c>
      <c r="G32" s="3">
        <v>669.71916971916971</v>
      </c>
      <c r="H32" s="3">
        <v>4.7191697191696997</v>
      </c>
      <c r="I32" s="3">
        <v>99.721217669947364</v>
      </c>
      <c r="J32" s="3">
        <v>79.911497672999161</v>
      </c>
      <c r="K32" s="4">
        <v>4.2554071744982415E-3</v>
      </c>
      <c r="L32" s="1" t="s">
        <v>17</v>
      </c>
      <c r="M32" s="3">
        <v>33.839300000000001</v>
      </c>
      <c r="N32" s="3">
        <v>33.9833</v>
      </c>
      <c r="O32" s="13">
        <v>33.608199999999997</v>
      </c>
    </row>
    <row r="33" spans="1:15">
      <c r="A33" s="5">
        <v>32</v>
      </c>
      <c r="B33" s="1">
        <v>43</v>
      </c>
      <c r="C33" s="3">
        <v>34.02975</v>
      </c>
      <c r="D33" s="3">
        <v>17.418150000000001</v>
      </c>
      <c r="E33" s="3">
        <v>29.18235</v>
      </c>
      <c r="F33" s="3">
        <v>532</v>
      </c>
      <c r="G33" s="3">
        <v>536.01953601953608</v>
      </c>
      <c r="H33" s="3">
        <v>4.0195360195361003</v>
      </c>
      <c r="I33" s="3">
        <v>99.721217669947364</v>
      </c>
      <c r="J33" s="3">
        <v>61.371786068513011</v>
      </c>
      <c r="K33" s="4">
        <v>6.1166145263916616E-2</v>
      </c>
      <c r="L33" s="1" t="s">
        <v>15</v>
      </c>
      <c r="M33" s="3">
        <v>30.441099999999999</v>
      </c>
      <c r="N33" s="3">
        <v>33.0199</v>
      </c>
      <c r="O33" s="13">
        <v>35.0396</v>
      </c>
    </row>
    <row r="34" spans="1:15">
      <c r="A34" s="5">
        <v>33</v>
      </c>
      <c r="B34" s="1">
        <v>14</v>
      </c>
      <c r="C34" s="3">
        <v>34.054549999999999</v>
      </c>
      <c r="D34" s="3">
        <v>14.815849999999999</v>
      </c>
      <c r="E34" s="3">
        <v>30.662099999999999</v>
      </c>
      <c r="F34" s="3">
        <v>569</v>
      </c>
      <c r="G34" s="3">
        <v>573.26007326007323</v>
      </c>
      <c r="H34" s="3">
        <v>4.2600732600731996</v>
      </c>
      <c r="I34" s="3">
        <v>99.721217669947364</v>
      </c>
      <c r="J34" s="3">
        <v>66.155489433127343</v>
      </c>
      <c r="K34" s="4">
        <v>6.7324095544234082E-3</v>
      </c>
      <c r="L34" s="1" t="s">
        <v>15</v>
      </c>
      <c r="M34" s="3">
        <v>33.423499999999997</v>
      </c>
      <c r="N34" s="3">
        <v>34.168799999999997</v>
      </c>
      <c r="O34" s="13">
        <v>33.940300000000001</v>
      </c>
    </row>
    <row r="35" spans="1:15">
      <c r="A35" s="5">
        <v>34</v>
      </c>
      <c r="B35" s="1">
        <v>59</v>
      </c>
      <c r="C35" s="3">
        <v>34.197800000000001</v>
      </c>
      <c r="D35" s="3">
        <v>13.971150000000002</v>
      </c>
      <c r="E35" s="3">
        <v>31.213099999999997</v>
      </c>
      <c r="F35" s="3">
        <v>566</v>
      </c>
      <c r="G35" s="3">
        <v>570.20757020757026</v>
      </c>
      <c r="H35" s="3">
        <v>4.2075702075703001</v>
      </c>
      <c r="I35" s="3">
        <v>99.721217669947364</v>
      </c>
      <c r="J35" s="3">
        <v>66.300450141145959</v>
      </c>
      <c r="K35" s="4">
        <v>1.256462542997795E-2</v>
      </c>
      <c r="L35" s="1" t="s">
        <v>16</v>
      </c>
      <c r="M35" s="3">
        <v>34.411299999999997</v>
      </c>
      <c r="N35" s="3">
        <v>91.913700000000006</v>
      </c>
      <c r="O35" s="13">
        <v>33.984299999999998</v>
      </c>
    </row>
    <row r="36" spans="1:15">
      <c r="A36" s="5">
        <v>35</v>
      </c>
      <c r="B36" s="1">
        <v>3</v>
      </c>
      <c r="C36" s="3">
        <v>34.342799999999997</v>
      </c>
      <c r="D36" s="3">
        <v>15.501899999999999</v>
      </c>
      <c r="E36" s="3">
        <v>30.64265</v>
      </c>
      <c r="F36" s="3">
        <v>557</v>
      </c>
      <c r="G36" s="3">
        <v>561.050061050061</v>
      </c>
      <c r="H36" s="3">
        <v>4.0500610500610001</v>
      </c>
      <c r="I36" s="3">
        <v>99.721217669947364</v>
      </c>
      <c r="J36" s="3">
        <v>64.515144579232469</v>
      </c>
      <c r="K36" s="4">
        <v>3.1631472931042987E-2</v>
      </c>
      <c r="L36" s="1" t="s">
        <v>15</v>
      </c>
      <c r="M36" s="3">
        <v>30.0961</v>
      </c>
      <c r="N36" s="3">
        <v>34.877499999999998</v>
      </c>
      <c r="O36" s="13">
        <v>33.808100000000003</v>
      </c>
    </row>
    <row r="37" spans="1:15">
      <c r="A37" s="5">
        <v>36</v>
      </c>
      <c r="B37" s="1">
        <v>42</v>
      </c>
      <c r="C37" s="3">
        <v>34.494500000000002</v>
      </c>
      <c r="D37" s="3">
        <v>16.31335</v>
      </c>
      <c r="E37" s="3">
        <v>30.39265</v>
      </c>
      <c r="F37" s="3">
        <v>537</v>
      </c>
      <c r="G37" s="3">
        <v>540.90354090354094</v>
      </c>
      <c r="H37" s="3">
        <v>3.9035409035408999</v>
      </c>
      <c r="I37" s="3">
        <v>99.721217669947364</v>
      </c>
      <c r="J37" s="3">
        <v>62.161440451667048</v>
      </c>
      <c r="K37" s="4">
        <v>7.6944791239236601E-3</v>
      </c>
      <c r="L37" s="1" t="s">
        <v>15</v>
      </c>
      <c r="M37" s="3">
        <v>29.522400000000001</v>
      </c>
      <c r="N37" s="3">
        <v>34.6267</v>
      </c>
      <c r="O37" s="13">
        <v>34.362299999999998</v>
      </c>
    </row>
    <row r="38" spans="1:15">
      <c r="A38" s="5">
        <v>37</v>
      </c>
      <c r="B38" s="1">
        <v>11</v>
      </c>
      <c r="C38" s="3">
        <v>34.595349999999996</v>
      </c>
      <c r="D38" s="3">
        <v>17.031100000000002</v>
      </c>
      <c r="E38" s="3">
        <v>30.1114</v>
      </c>
      <c r="F38" s="3">
        <v>693</v>
      </c>
      <c r="G38" s="3">
        <v>697.80219780219784</v>
      </c>
      <c r="H38" s="3">
        <v>4.8021978021978002</v>
      </c>
      <c r="I38" s="3">
        <v>99.721217669947364</v>
      </c>
      <c r="J38" s="3">
        <v>83.348592355230025</v>
      </c>
      <c r="K38" s="4">
        <v>1.4897482180874877E-3</v>
      </c>
      <c r="L38" s="1" t="s">
        <v>15</v>
      </c>
      <c r="M38" s="3">
        <v>35.022199999999998</v>
      </c>
      <c r="N38" s="3">
        <v>34.569600000000001</v>
      </c>
      <c r="O38" s="13">
        <v>34.621099999999998</v>
      </c>
    </row>
    <row r="39" spans="1:15">
      <c r="A39" s="5">
        <v>38</v>
      </c>
      <c r="B39" s="1">
        <v>20</v>
      </c>
      <c r="C39" s="3">
        <v>34.685450000000003</v>
      </c>
      <c r="D39" s="3">
        <v>14.623200000000001</v>
      </c>
      <c r="E39" s="3">
        <v>31.45035</v>
      </c>
      <c r="F39" s="3">
        <v>577</v>
      </c>
      <c r="G39" s="3">
        <v>581.19658119658118</v>
      </c>
      <c r="H39" s="3">
        <v>4.1965811965812003</v>
      </c>
      <c r="I39" s="3">
        <v>99.721217669947364</v>
      </c>
      <c r="J39" s="3">
        <v>67.215991454947741</v>
      </c>
      <c r="K39" s="4">
        <v>1.1007200918377986E-2</v>
      </c>
      <c r="L39" s="1" t="s">
        <v>17</v>
      </c>
      <c r="M39" s="3">
        <v>34.495600000000003</v>
      </c>
      <c r="N39" s="3">
        <v>34.875300000000003</v>
      </c>
      <c r="O39" s="13">
        <v>34.093299999999999</v>
      </c>
    </row>
    <row r="40" spans="1:15">
      <c r="A40" s="5">
        <v>39</v>
      </c>
      <c r="B40" s="1">
        <v>26</v>
      </c>
      <c r="C40" s="3">
        <v>34.6858</v>
      </c>
      <c r="D40" s="3">
        <v>15.790749999999999</v>
      </c>
      <c r="E40" s="3">
        <v>30.878549999999997</v>
      </c>
      <c r="F40" s="3">
        <v>713</v>
      </c>
      <c r="G40" s="3">
        <v>717.33821733821731</v>
      </c>
      <c r="H40" s="3">
        <v>4.3382173382172997</v>
      </c>
      <c r="I40" s="3">
        <v>99.721217669947364</v>
      </c>
      <c r="J40" s="3">
        <v>86.266880292973227</v>
      </c>
      <c r="K40" s="4">
        <v>8.0761181371086441E-3</v>
      </c>
      <c r="L40" s="1" t="s">
        <v>17</v>
      </c>
      <c r="M40" s="3">
        <v>34.825299999999999</v>
      </c>
      <c r="N40" s="3">
        <v>34.546300000000002</v>
      </c>
      <c r="O40" s="13">
        <v>34.099299999999999</v>
      </c>
    </row>
    <row r="41" spans="1:15">
      <c r="A41" s="5">
        <v>40</v>
      </c>
      <c r="B41" s="1">
        <v>4</v>
      </c>
      <c r="C41" s="3">
        <v>34.693899999999999</v>
      </c>
      <c r="D41" s="3">
        <v>24.684950000000001</v>
      </c>
      <c r="E41" s="3">
        <v>24.369700000000002</v>
      </c>
      <c r="F41" s="3">
        <v>504</v>
      </c>
      <c r="G41" s="3">
        <v>507.93650793650789</v>
      </c>
      <c r="H41" s="3">
        <v>3.9365079365079501</v>
      </c>
      <c r="I41" s="3">
        <v>99.721217669947364</v>
      </c>
      <c r="J41" s="3">
        <v>57.122148470283058</v>
      </c>
      <c r="K41" s="4">
        <v>9.3302599267940968E-3</v>
      </c>
      <c r="L41" s="1" t="s">
        <v>15</v>
      </c>
      <c r="M41" s="3">
        <v>35.359000000000002</v>
      </c>
      <c r="N41" s="3">
        <v>34.532800000000002</v>
      </c>
      <c r="O41" s="13">
        <v>34.854999999999997</v>
      </c>
    </row>
    <row r="42" spans="1:15">
      <c r="A42" s="5">
        <v>41</v>
      </c>
      <c r="B42" s="1">
        <v>58</v>
      </c>
      <c r="C42" s="3">
        <v>34.752650000000003</v>
      </c>
      <c r="D42" s="3">
        <v>16.15475</v>
      </c>
      <c r="E42" s="3">
        <v>30.7651</v>
      </c>
      <c r="F42" s="3">
        <v>702</v>
      </c>
      <c r="G42" s="3">
        <v>706.34920634920638</v>
      </c>
      <c r="H42" s="3">
        <v>4.3492063492064004</v>
      </c>
      <c r="I42" s="3">
        <v>99.721217669947364</v>
      </c>
      <c r="J42" s="3">
        <v>85.198748760204467</v>
      </c>
      <c r="K42" s="4">
        <v>8.68436871430882E-3</v>
      </c>
      <c r="L42" s="1" t="s">
        <v>17</v>
      </c>
      <c r="M42" s="3">
        <v>34.902900000000002</v>
      </c>
      <c r="N42" s="3">
        <v>34.602400000000003</v>
      </c>
      <c r="O42" s="13">
        <v>33.9529</v>
      </c>
    </row>
    <row r="43" spans="1:15">
      <c r="A43" s="5">
        <v>42</v>
      </c>
      <c r="B43" s="1">
        <v>34</v>
      </c>
      <c r="C43" s="3">
        <v>34.770350000000001</v>
      </c>
      <c r="D43" s="3">
        <v>15.321949999999999</v>
      </c>
      <c r="E43" s="3">
        <v>31.211500000000001</v>
      </c>
      <c r="F43" s="3">
        <v>563</v>
      </c>
      <c r="G43" s="3">
        <v>567.15506715506717</v>
      </c>
      <c r="H43" s="3">
        <v>4.1550671550671998</v>
      </c>
      <c r="I43" s="3">
        <v>99.721217669947364</v>
      </c>
      <c r="J43" s="3">
        <v>65.377279316395814</v>
      </c>
      <c r="K43" s="4">
        <v>3.3677211561453308E-3</v>
      </c>
      <c r="L43" s="1" t="s">
        <v>17</v>
      </c>
      <c r="M43" s="3">
        <v>34.828800000000001</v>
      </c>
      <c r="N43" s="3">
        <v>34.7119</v>
      </c>
      <c r="O43" s="13">
        <v>34.9696</v>
      </c>
    </row>
    <row r="44" spans="1:15">
      <c r="A44" s="5">
        <v>43</v>
      </c>
      <c r="B44" s="1">
        <v>13</v>
      </c>
      <c r="C44" s="3">
        <v>34.780549999999998</v>
      </c>
      <c r="D44" s="3">
        <v>16.483449999999998</v>
      </c>
      <c r="E44" s="3">
        <v>30.626000000000001</v>
      </c>
      <c r="F44" s="3">
        <v>721</v>
      </c>
      <c r="G44" s="3">
        <v>725.27472527472526</v>
      </c>
      <c r="H44" s="3">
        <v>4.2747252747253004</v>
      </c>
      <c r="I44" s="3">
        <v>99.721217669947364</v>
      </c>
      <c r="J44" s="3">
        <v>87.129015030136571</v>
      </c>
      <c r="K44" s="4">
        <v>5.0933639261850428E-3</v>
      </c>
      <c r="L44" s="1" t="s">
        <v>17</v>
      </c>
      <c r="M44" s="3">
        <v>34.6922</v>
      </c>
      <c r="N44" s="3">
        <v>34.868899999999996</v>
      </c>
      <c r="O44" s="13">
        <v>34.096400000000003</v>
      </c>
    </row>
    <row r="45" spans="1:15">
      <c r="A45" s="5">
        <v>44</v>
      </c>
      <c r="B45" s="1">
        <v>15</v>
      </c>
      <c r="C45" s="3">
        <v>34.800650000000005</v>
      </c>
      <c r="D45" s="3">
        <v>14.910450000000001</v>
      </c>
      <c r="E45" s="3">
        <v>31.444650000000003</v>
      </c>
      <c r="F45" s="3">
        <v>601</v>
      </c>
      <c r="G45" s="3">
        <v>605.00610500610503</v>
      </c>
      <c r="H45" s="3">
        <v>4.0061050061049999</v>
      </c>
      <c r="I45" s="3">
        <v>99.721217669947364</v>
      </c>
      <c r="J45" s="3">
        <v>70.447089341573204</v>
      </c>
      <c r="K45" s="4">
        <v>1.9794193780542965E-2</v>
      </c>
      <c r="L45" s="1" t="s">
        <v>16</v>
      </c>
      <c r="M45" s="3">
        <v>34.459600000000002</v>
      </c>
      <c r="N45" s="3">
        <v>29.945599999999999</v>
      </c>
      <c r="O45" s="13">
        <v>35.1417</v>
      </c>
    </row>
    <row r="46" spans="1:15">
      <c r="A46" s="5">
        <v>45</v>
      </c>
      <c r="B46" s="1">
        <v>36</v>
      </c>
      <c r="C46" s="3">
        <v>34.867350000000002</v>
      </c>
      <c r="D46" s="3">
        <v>17.17905</v>
      </c>
      <c r="E46" s="3">
        <v>30.341249999999999</v>
      </c>
      <c r="F46" s="3">
        <v>686</v>
      </c>
      <c r="G46" s="3">
        <v>690.47619047619048</v>
      </c>
      <c r="H46" s="3">
        <v>4.4761904761905003</v>
      </c>
      <c r="I46" s="3">
        <v>99.718242160677505</v>
      </c>
      <c r="J46" s="3">
        <v>82.726787212939655</v>
      </c>
      <c r="K46" s="4">
        <v>1.2557071036485016E-2</v>
      </c>
      <c r="L46" s="1" t="s">
        <v>17</v>
      </c>
      <c r="M46" s="3">
        <v>34.649799999999999</v>
      </c>
      <c r="N46" s="3">
        <v>35.084899999999998</v>
      </c>
      <c r="O46" s="13">
        <v>35.542700000000004</v>
      </c>
    </row>
    <row r="47" spans="1:15">
      <c r="A47" s="5">
        <v>46</v>
      </c>
      <c r="B47" s="1">
        <v>39</v>
      </c>
      <c r="C47" s="3">
        <v>34.902100000000004</v>
      </c>
      <c r="D47" s="3">
        <v>15.984100000000002</v>
      </c>
      <c r="E47" s="3">
        <v>31.026850000000003</v>
      </c>
      <c r="F47" s="3">
        <v>699</v>
      </c>
      <c r="G47" s="3">
        <v>702.68620268620271</v>
      </c>
      <c r="H47" s="3">
        <v>3.6862026862027002</v>
      </c>
      <c r="I47" s="3">
        <v>99.721217669947364</v>
      </c>
      <c r="J47" s="3">
        <v>84.676127260242623</v>
      </c>
      <c r="K47" s="4">
        <v>1.1741175385608637E-2</v>
      </c>
      <c r="L47" s="1" t="s">
        <v>17</v>
      </c>
      <c r="M47" s="3">
        <v>35.105800000000002</v>
      </c>
      <c r="N47" s="3">
        <v>34.698399999999999</v>
      </c>
      <c r="O47" s="13">
        <v>34.156799999999997</v>
      </c>
    </row>
    <row r="48" spans="1:15">
      <c r="A48" s="5">
        <v>47</v>
      </c>
      <c r="B48" s="1">
        <v>24</v>
      </c>
      <c r="C48" s="3">
        <v>34.98115</v>
      </c>
      <c r="D48" s="3">
        <v>13.980700000000001</v>
      </c>
      <c r="E48" s="3">
        <v>32.065849999999998</v>
      </c>
      <c r="F48" s="3">
        <v>594</v>
      </c>
      <c r="G48" s="3">
        <v>597.68009768009767</v>
      </c>
      <c r="H48" s="3">
        <v>3.6800976800976999</v>
      </c>
      <c r="I48" s="3">
        <v>99.721217669947364</v>
      </c>
      <c r="J48" s="3">
        <v>69.634546425574115</v>
      </c>
      <c r="K48" s="4">
        <v>2.705108791174088E-3</v>
      </c>
      <c r="L48" s="1" t="s">
        <v>15</v>
      </c>
      <c r="M48" s="3">
        <v>32.375900000000001</v>
      </c>
      <c r="N48" s="3">
        <v>35.028399999999998</v>
      </c>
      <c r="O48" s="13">
        <v>34.933900000000001</v>
      </c>
    </row>
    <row r="49" spans="1:15">
      <c r="A49" s="5">
        <v>48</v>
      </c>
      <c r="B49" s="1">
        <v>10</v>
      </c>
      <c r="C49" s="3">
        <v>35.040599999999998</v>
      </c>
      <c r="D49" s="3">
        <v>17.137549999999997</v>
      </c>
      <c r="E49" s="3">
        <v>30.560700000000001</v>
      </c>
      <c r="F49" s="3">
        <v>706</v>
      </c>
      <c r="G49" s="3">
        <v>710.62271062271066</v>
      </c>
      <c r="H49" s="3">
        <v>4.6227106227107004</v>
      </c>
      <c r="I49" s="3">
        <v>99.721217669947364</v>
      </c>
      <c r="J49" s="3">
        <v>85.080491340505077</v>
      </c>
      <c r="K49" s="4">
        <v>4.8461060936781227E-3</v>
      </c>
      <c r="L49" s="1" t="s">
        <v>17</v>
      </c>
      <c r="M49" s="3">
        <v>35.125300000000003</v>
      </c>
      <c r="N49" s="3">
        <v>34.9559</v>
      </c>
      <c r="O49" s="13">
        <v>35.635899999999999</v>
      </c>
    </row>
    <row r="50" spans="1:15">
      <c r="A50" s="5">
        <v>49</v>
      </c>
      <c r="B50" s="1">
        <v>5</v>
      </c>
      <c r="C50" s="3">
        <v>35.169799999999995</v>
      </c>
      <c r="D50" s="3">
        <v>14.1374</v>
      </c>
      <c r="E50" s="3">
        <v>32.203150000000001</v>
      </c>
      <c r="F50" s="3">
        <v>586</v>
      </c>
      <c r="G50" s="3">
        <v>589.74358974358972</v>
      </c>
      <c r="H50" s="3">
        <v>3.7435897435897001</v>
      </c>
      <c r="I50" s="3">
        <v>99.718242160677505</v>
      </c>
      <c r="J50" s="3">
        <v>68.204013122758838</v>
      </c>
      <c r="K50" s="4">
        <v>1.0886407428372148E-2</v>
      </c>
      <c r="L50" s="1" t="s">
        <v>17</v>
      </c>
      <c r="M50" s="3">
        <v>34.979399999999998</v>
      </c>
      <c r="N50" s="3">
        <v>35.360199999999999</v>
      </c>
      <c r="O50" s="13">
        <v>34.329799999999999</v>
      </c>
    </row>
    <row r="51" spans="1:15">
      <c r="A51" s="5">
        <v>50</v>
      </c>
      <c r="B51" s="1">
        <v>55</v>
      </c>
      <c r="C51" s="3">
        <v>35.366300000000003</v>
      </c>
      <c r="D51" s="3">
        <v>16.01145</v>
      </c>
      <c r="E51" s="3">
        <v>31.532399999999999</v>
      </c>
      <c r="F51" s="3">
        <v>725</v>
      </c>
      <c r="G51" s="3">
        <v>729.54822954822953</v>
      </c>
      <c r="H51" s="3">
        <v>4.5482295482295001</v>
      </c>
      <c r="I51" s="3">
        <v>99.721217669947364</v>
      </c>
      <c r="J51" s="3">
        <v>88.097962920576791</v>
      </c>
      <c r="K51" s="4">
        <v>3.8926159285617018E-3</v>
      </c>
      <c r="L51" s="1" t="s">
        <v>17</v>
      </c>
      <c r="M51" s="3">
        <v>35.297600000000003</v>
      </c>
      <c r="N51" s="3">
        <v>35.435000000000002</v>
      </c>
      <c r="O51" s="13">
        <v>35.9544</v>
      </c>
    </row>
    <row r="52" spans="1:15">
      <c r="A52" s="5">
        <v>51</v>
      </c>
      <c r="B52" s="1">
        <v>41</v>
      </c>
      <c r="C52" s="3">
        <v>35.377300000000005</v>
      </c>
      <c r="D52" s="3">
        <v>15.960150000000001</v>
      </c>
      <c r="E52" s="3">
        <v>31.57255</v>
      </c>
      <c r="F52" s="3">
        <v>717</v>
      </c>
      <c r="G52" s="3">
        <v>721.61172161172158</v>
      </c>
      <c r="H52" s="3">
        <v>4.6117216117215998</v>
      </c>
      <c r="I52" s="3">
        <v>99.721217669947364</v>
      </c>
      <c r="J52" s="3">
        <v>87.285420004577702</v>
      </c>
      <c r="K52" s="4">
        <v>1.2520906101737259E-2</v>
      </c>
      <c r="L52" s="1" t="s">
        <v>17</v>
      </c>
      <c r="M52" s="3">
        <v>35.5974</v>
      </c>
      <c r="N52" s="3">
        <v>35.157200000000003</v>
      </c>
      <c r="O52" s="13">
        <v>36.1524</v>
      </c>
    </row>
    <row r="53" spans="1:15">
      <c r="A53" s="5">
        <v>52</v>
      </c>
      <c r="B53" s="1">
        <v>16</v>
      </c>
      <c r="C53" s="3">
        <v>35.514800000000001</v>
      </c>
      <c r="D53" s="3">
        <v>15.884550000000001</v>
      </c>
      <c r="E53" s="3">
        <v>31.762799999999999</v>
      </c>
      <c r="F53" s="3">
        <v>750</v>
      </c>
      <c r="G53" s="3">
        <v>754.57875457875457</v>
      </c>
      <c r="H53" s="3">
        <v>4.5787545787545998</v>
      </c>
      <c r="I53" s="3">
        <v>99.724193179217195</v>
      </c>
      <c r="J53" s="3">
        <v>91.268024719615482</v>
      </c>
      <c r="K53" s="4">
        <v>2.6672305631916483E-3</v>
      </c>
      <c r="L53" s="1" t="s">
        <v>15</v>
      </c>
      <c r="M53" s="3">
        <v>34.512</v>
      </c>
      <c r="N53" s="3">
        <v>35.562100000000001</v>
      </c>
      <c r="O53" s="13">
        <v>35.467500000000001</v>
      </c>
    </row>
    <row r="54" spans="1:15">
      <c r="A54" s="5">
        <v>53</v>
      </c>
      <c r="B54" s="1">
        <v>1</v>
      </c>
      <c r="C54" s="3">
        <v>35.642849999999996</v>
      </c>
      <c r="D54" s="3">
        <v>16.004650000000002</v>
      </c>
      <c r="E54" s="3">
        <v>31.845400000000001</v>
      </c>
      <c r="F54" s="3">
        <v>735</v>
      </c>
      <c r="G54" s="3">
        <v>739.31623931623926</v>
      </c>
      <c r="H54" s="3">
        <v>4.3162393162393</v>
      </c>
      <c r="I54" s="3">
        <v>99.718242160677505</v>
      </c>
      <c r="J54" s="3">
        <v>89.131761654077977</v>
      </c>
      <c r="K54" s="4">
        <v>3.3358157573031579E-3</v>
      </c>
      <c r="L54" s="1" t="s">
        <v>16</v>
      </c>
      <c r="M54" s="3">
        <v>35.583500000000001</v>
      </c>
      <c r="N54" s="3">
        <v>35.006700000000002</v>
      </c>
      <c r="O54" s="13">
        <v>35.702199999999998</v>
      </c>
    </row>
    <row r="55" spans="1:15">
      <c r="A55" s="5">
        <v>54</v>
      </c>
      <c r="B55" s="1">
        <v>47</v>
      </c>
      <c r="C55" s="3">
        <v>35.810050000000004</v>
      </c>
      <c r="D55" s="3">
        <v>13.911300000000001</v>
      </c>
      <c r="E55" s="3">
        <v>32.993899999999996</v>
      </c>
      <c r="F55" s="3">
        <v>582</v>
      </c>
      <c r="G55" s="3">
        <v>586.08058608058604</v>
      </c>
      <c r="H55" s="3">
        <v>4.0805860805860004</v>
      </c>
      <c r="I55" s="3">
        <v>99.721217669947364</v>
      </c>
      <c r="J55" s="3">
        <v>68.322270542458227</v>
      </c>
      <c r="K55" s="4">
        <v>9.2889506094909237E-3</v>
      </c>
      <c r="L55" s="1" t="s">
        <v>17</v>
      </c>
      <c r="M55" s="3">
        <v>35.644500000000001</v>
      </c>
      <c r="N55" s="3">
        <v>35.9756</v>
      </c>
      <c r="O55" s="13">
        <v>35.254600000000003</v>
      </c>
    </row>
    <row r="56" spans="1:15">
      <c r="A56" s="5">
        <v>55</v>
      </c>
      <c r="B56" s="1">
        <v>60</v>
      </c>
      <c r="C56" s="3">
        <v>35.892499999999998</v>
      </c>
      <c r="D56" s="3">
        <v>17.019399999999997</v>
      </c>
      <c r="E56" s="3">
        <v>31.600650000000002</v>
      </c>
      <c r="F56" s="3">
        <v>618</v>
      </c>
      <c r="G56" s="3">
        <v>622.10012210012212</v>
      </c>
      <c r="H56" s="3">
        <v>4.1001221001220998</v>
      </c>
      <c r="I56" s="3">
        <v>99.721217669947364</v>
      </c>
      <c r="J56" s="3">
        <v>73.483634699015795</v>
      </c>
      <c r="K56" s="4">
        <v>9.2253349641874295E-3</v>
      </c>
      <c r="L56" s="1" t="s">
        <v>15</v>
      </c>
      <c r="M56" s="3">
        <v>31.505700000000001</v>
      </c>
      <c r="N56" s="3">
        <v>36.057299999999998</v>
      </c>
      <c r="O56" s="13">
        <v>35.727699999999999</v>
      </c>
    </row>
    <row r="57" spans="1:15">
      <c r="A57" s="5">
        <v>56</v>
      </c>
      <c r="B57" s="1">
        <v>35</v>
      </c>
      <c r="C57" s="3">
        <v>35.895499999999998</v>
      </c>
      <c r="D57" s="3">
        <v>16.212449999999997</v>
      </c>
      <c r="E57" s="3">
        <v>32.025349999999996</v>
      </c>
      <c r="F57" s="3">
        <v>742</v>
      </c>
      <c r="G57" s="3">
        <v>746.64224664224662</v>
      </c>
      <c r="H57" s="3">
        <v>4.6422466422466</v>
      </c>
      <c r="I57" s="3">
        <v>99.721217669947364</v>
      </c>
      <c r="J57" s="3">
        <v>90.375371938658716</v>
      </c>
      <c r="K57" s="4">
        <v>6.7253292783828068E-3</v>
      </c>
      <c r="L57" s="1" t="s">
        <v>16</v>
      </c>
      <c r="M57" s="3">
        <v>35.775199999999998</v>
      </c>
      <c r="N57" s="3">
        <v>36.778500000000001</v>
      </c>
      <c r="O57" s="13">
        <v>36.015799999999999</v>
      </c>
    </row>
    <row r="58" spans="1:15">
      <c r="A58" s="5">
        <v>57</v>
      </c>
      <c r="B58" s="1">
        <v>29</v>
      </c>
      <c r="C58" s="3">
        <v>35.923249999999996</v>
      </c>
      <c r="D58" s="3">
        <v>16.021349999999998</v>
      </c>
      <c r="E58" s="3">
        <v>32.152650000000001</v>
      </c>
      <c r="F58" s="3">
        <v>728</v>
      </c>
      <c r="G58" s="3">
        <v>732.60073260073261</v>
      </c>
      <c r="H58" s="3">
        <v>4.6007326007326004</v>
      </c>
      <c r="I58" s="3">
        <v>99.721217669947364</v>
      </c>
      <c r="J58" s="3">
        <v>88.467994201571685</v>
      </c>
      <c r="K58" s="4">
        <v>5.535379814147352E-3</v>
      </c>
      <c r="L58" s="1" t="s">
        <v>17</v>
      </c>
      <c r="M58" s="3">
        <v>36.022399999999998</v>
      </c>
      <c r="N58" s="3">
        <v>35.824100000000001</v>
      </c>
      <c r="O58" s="13">
        <v>35.615600000000001</v>
      </c>
    </row>
    <row r="59" spans="1:15">
      <c r="A59" s="5">
        <v>58</v>
      </c>
      <c r="B59" s="1">
        <v>40</v>
      </c>
      <c r="C59" s="3">
        <v>36.036299999999997</v>
      </c>
      <c r="D59" s="3">
        <v>14.2685</v>
      </c>
      <c r="E59" s="3">
        <v>33.090299999999999</v>
      </c>
      <c r="F59" s="3">
        <v>590</v>
      </c>
      <c r="G59" s="3">
        <v>594.017094017094</v>
      </c>
      <c r="H59" s="3">
        <v>4.0170940170940002</v>
      </c>
      <c r="I59" s="3">
        <v>99.721217669947364</v>
      </c>
      <c r="J59" s="3">
        <v>69.497215228503848</v>
      </c>
      <c r="K59" s="4">
        <v>1.177283972555974E-3</v>
      </c>
      <c r="L59" s="1" t="s">
        <v>15</v>
      </c>
      <c r="M59" s="3">
        <v>36.112400000000001</v>
      </c>
      <c r="N59" s="3">
        <v>36.057499999999997</v>
      </c>
      <c r="O59" s="13">
        <v>36.015099999999997</v>
      </c>
    </row>
    <row r="60" spans="1:15">
      <c r="A60" s="5">
        <v>59</v>
      </c>
      <c r="B60" s="1">
        <v>51</v>
      </c>
      <c r="C60" s="3">
        <v>36.042499999999997</v>
      </c>
      <c r="D60" s="3">
        <v>14.55125</v>
      </c>
      <c r="E60" s="3">
        <v>32.974249999999998</v>
      </c>
      <c r="F60" s="3">
        <v>598</v>
      </c>
      <c r="G60" s="3">
        <v>601.95360195360195</v>
      </c>
      <c r="H60" s="3">
        <v>3.953601953602</v>
      </c>
      <c r="I60" s="3">
        <v>99.721217669947364</v>
      </c>
      <c r="J60" s="3">
        <v>70.508125429159989</v>
      </c>
      <c r="K60" s="4">
        <v>3.741466343481035E-3</v>
      </c>
      <c r="L60" s="1" t="s">
        <v>17</v>
      </c>
      <c r="M60" s="3">
        <v>35.975200000000001</v>
      </c>
      <c r="N60" s="3">
        <v>36.1098</v>
      </c>
      <c r="O60" s="13">
        <v>36.395800000000001</v>
      </c>
    </row>
    <row r="61" spans="1:15">
      <c r="A61" s="10">
        <v>60</v>
      </c>
      <c r="B61" s="14">
        <v>48</v>
      </c>
      <c r="C61" s="11">
        <v>36.476050000000001</v>
      </c>
      <c r="D61" s="11">
        <v>16.076799999999999</v>
      </c>
      <c r="E61" s="11">
        <v>32.741100000000003</v>
      </c>
      <c r="F61" s="11">
        <v>746</v>
      </c>
      <c r="G61" s="11">
        <v>750.3052503052503</v>
      </c>
      <c r="H61" s="11">
        <v>4.3052503052502997</v>
      </c>
      <c r="I61" s="11">
        <v>99.721217669947364</v>
      </c>
      <c r="J61" s="11">
        <v>91.275654230563816</v>
      </c>
      <c r="K61" s="15">
        <v>1.3215919815876651E-2</v>
      </c>
      <c r="L61" s="14" t="s">
        <v>17</v>
      </c>
      <c r="M61" s="11">
        <v>36.715499999999999</v>
      </c>
      <c r="N61" s="11">
        <v>36.236600000000003</v>
      </c>
      <c r="O61" s="16">
        <v>35.535600000000002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E88D-BDC8-4BF9-9C9D-1FEBEA9E6274}">
  <dimension ref="A1:J61"/>
  <sheetViews>
    <sheetView workbookViewId="0"/>
  </sheetViews>
  <sheetFormatPr defaultRowHeight="13.9"/>
  <cols>
    <col min="1" max="1" width="5.796875" customWidth="1"/>
    <col min="2" max="3" width="10.19921875" customWidth="1"/>
    <col min="4" max="4" width="11.796875" customWidth="1"/>
    <col min="5" max="7" width="7.06640625" bestFit="1" customWidth="1"/>
    <col min="8" max="8" width="11.265625" customWidth="1"/>
    <col min="9" max="9" width="10.46484375" customWidth="1"/>
    <col min="10" max="10" width="10.59765625" customWidth="1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>
      <c r="A2" s="5">
        <v>1</v>
      </c>
      <c r="B2" s="3">
        <v>735</v>
      </c>
      <c r="C2" s="3">
        <v>739.31623931623926</v>
      </c>
      <c r="D2" s="3">
        <v>4.3162393162393</v>
      </c>
      <c r="E2" s="3">
        <v>35.642849999999996</v>
      </c>
      <c r="F2" s="3">
        <v>16.004650000000002</v>
      </c>
      <c r="G2" s="3">
        <v>31.845400000000001</v>
      </c>
      <c r="H2" s="3">
        <v>99.718242160677505</v>
      </c>
      <c r="I2" s="3">
        <v>89.131761654077977</v>
      </c>
      <c r="J2" s="6">
        <v>3.3358157573031579E-3</v>
      </c>
    </row>
    <row r="3" spans="1:10">
      <c r="A3" s="5">
        <v>2</v>
      </c>
      <c r="B3" s="3">
        <v>638</v>
      </c>
      <c r="C3" s="3">
        <v>642.85714285714289</v>
      </c>
      <c r="D3" s="3">
        <v>4.8571428571429003</v>
      </c>
      <c r="E3" s="3">
        <v>32.098349999999996</v>
      </c>
      <c r="F3" s="3">
        <v>16.918949999999999</v>
      </c>
      <c r="G3" s="3">
        <v>27.274149999999999</v>
      </c>
      <c r="H3" s="3">
        <v>99.721217669947364</v>
      </c>
      <c r="I3" s="3">
        <v>75.818265049210339</v>
      </c>
      <c r="J3" s="6">
        <v>1.2082518429366643E-2</v>
      </c>
    </row>
    <row r="4" spans="1:10">
      <c r="A4" s="5">
        <v>3</v>
      </c>
      <c r="B4" s="3">
        <v>557</v>
      </c>
      <c r="C4" s="3">
        <v>561.050061050061</v>
      </c>
      <c r="D4" s="3">
        <v>4.0500610500610001</v>
      </c>
      <c r="E4" s="3">
        <v>34.342799999999997</v>
      </c>
      <c r="F4" s="3">
        <v>15.501899999999999</v>
      </c>
      <c r="G4" s="3">
        <v>30.64265</v>
      </c>
      <c r="H4" s="3">
        <v>99.721217669947364</v>
      </c>
      <c r="I4" s="3">
        <v>64.515144579232469</v>
      </c>
      <c r="J4" s="6">
        <v>3.1631472931042987E-2</v>
      </c>
    </row>
    <row r="5" spans="1:10">
      <c r="A5" s="5">
        <v>4</v>
      </c>
      <c r="B5" s="3">
        <v>504</v>
      </c>
      <c r="C5" s="3">
        <v>507.93650793650789</v>
      </c>
      <c r="D5" s="3">
        <v>3.9365079365079501</v>
      </c>
      <c r="E5" s="3">
        <v>34.693899999999999</v>
      </c>
      <c r="F5" s="3">
        <v>24.684950000000001</v>
      </c>
      <c r="G5" s="3">
        <v>24.369700000000002</v>
      </c>
      <c r="H5" s="3">
        <v>99.721217669947364</v>
      </c>
      <c r="I5" s="3">
        <v>57.122148470283058</v>
      </c>
      <c r="J5" s="6">
        <v>9.3302599267940968E-3</v>
      </c>
    </row>
    <row r="6" spans="1:10">
      <c r="A6" s="5">
        <v>5</v>
      </c>
      <c r="B6" s="3">
        <v>586</v>
      </c>
      <c r="C6" s="3">
        <v>589.74358974358972</v>
      </c>
      <c r="D6" s="3">
        <v>3.7435897435897001</v>
      </c>
      <c r="E6" s="3">
        <v>35.169799999999995</v>
      </c>
      <c r="F6" s="3">
        <v>14.1374</v>
      </c>
      <c r="G6" s="3">
        <v>32.203150000000001</v>
      </c>
      <c r="H6" s="3">
        <v>99.718242160677505</v>
      </c>
      <c r="I6" s="3">
        <v>68.204013122758838</v>
      </c>
      <c r="J6" s="6">
        <v>1.0886407428372148E-2</v>
      </c>
    </row>
    <row r="7" spans="1:10">
      <c r="A7" s="5">
        <v>6</v>
      </c>
      <c r="B7" s="3">
        <v>625</v>
      </c>
      <c r="C7" s="3">
        <v>629.42612942612948</v>
      </c>
      <c r="D7" s="3">
        <v>4.4261294261295001</v>
      </c>
      <c r="E7" s="3">
        <v>32.096200000000003</v>
      </c>
      <c r="F7" s="3">
        <v>18.139500000000002</v>
      </c>
      <c r="G7" s="3">
        <v>26.478649999999998</v>
      </c>
      <c r="H7" s="3">
        <v>99.721217669947364</v>
      </c>
      <c r="I7" s="3">
        <v>73.620965896086062</v>
      </c>
      <c r="J7" s="6">
        <v>1.8961011420267199E-3</v>
      </c>
    </row>
    <row r="8" spans="1:10">
      <c r="A8" s="5">
        <v>7</v>
      </c>
      <c r="B8" s="3">
        <v>668</v>
      </c>
      <c r="C8" s="3">
        <v>672.7716727716728</v>
      </c>
      <c r="D8" s="3">
        <v>4.7716727716728</v>
      </c>
      <c r="E8" s="3">
        <v>33.585850000000001</v>
      </c>
      <c r="F8" s="3">
        <v>17.56025</v>
      </c>
      <c r="G8" s="3">
        <v>28.629149999999999</v>
      </c>
      <c r="H8" s="3">
        <v>99.721217669947364</v>
      </c>
      <c r="I8" s="3">
        <v>79.686427100022883</v>
      </c>
      <c r="J8" s="6">
        <v>2.9968153246101663E-3</v>
      </c>
    </row>
    <row r="9" spans="1:10">
      <c r="A9" s="5">
        <v>8</v>
      </c>
      <c r="B9" s="3">
        <v>656</v>
      </c>
      <c r="C9" s="3">
        <v>660.56166056166057</v>
      </c>
      <c r="D9" s="3">
        <v>4.5616605616605996</v>
      </c>
      <c r="E9" s="3">
        <v>32.980000000000004</v>
      </c>
      <c r="F9" s="3">
        <v>17.799849999999999</v>
      </c>
      <c r="G9" s="3">
        <v>27.763449999999999</v>
      </c>
      <c r="H9" s="3">
        <v>99.721217669947364</v>
      </c>
      <c r="I9" s="3">
        <v>78.072785534447249</v>
      </c>
      <c r="J9" s="6">
        <v>1.7601893720979585E-3</v>
      </c>
    </row>
    <row r="10" spans="1:10">
      <c r="A10" s="5">
        <v>9</v>
      </c>
      <c r="B10" s="3">
        <v>542</v>
      </c>
      <c r="C10" s="3">
        <v>545.78754578754581</v>
      </c>
      <c r="D10" s="3">
        <v>3.7875457875457998</v>
      </c>
      <c r="E10" s="3">
        <v>33.097650000000002</v>
      </c>
      <c r="F10" s="3">
        <v>15.994199999999999</v>
      </c>
      <c r="G10" s="3">
        <v>28.97645</v>
      </c>
      <c r="H10" s="3">
        <v>99.721217669947364</v>
      </c>
      <c r="I10" s="3">
        <v>62.333104448004882</v>
      </c>
      <c r="J10" s="6">
        <v>1.1581087364125177E-2</v>
      </c>
    </row>
    <row r="11" spans="1:10">
      <c r="A11" s="5">
        <v>10</v>
      </c>
      <c r="B11" s="3">
        <v>706</v>
      </c>
      <c r="C11" s="3">
        <v>710.62271062271066</v>
      </c>
      <c r="D11" s="3">
        <v>4.6227106227107004</v>
      </c>
      <c r="E11" s="3">
        <v>35.040599999999998</v>
      </c>
      <c r="F11" s="3">
        <v>17.137549999999997</v>
      </c>
      <c r="G11" s="3">
        <v>30.560700000000001</v>
      </c>
      <c r="H11" s="3">
        <v>99.721217669947364</v>
      </c>
      <c r="I11" s="3">
        <v>85.080491340505077</v>
      </c>
      <c r="J11" s="6">
        <v>4.8461060936781227E-3</v>
      </c>
    </row>
    <row r="12" spans="1:10">
      <c r="A12" s="5">
        <v>11</v>
      </c>
      <c r="B12" s="3">
        <v>693</v>
      </c>
      <c r="C12" s="3">
        <v>697.80219780219784</v>
      </c>
      <c r="D12" s="3">
        <v>4.8021978021978002</v>
      </c>
      <c r="E12" s="3">
        <v>34.595349999999996</v>
      </c>
      <c r="F12" s="3">
        <v>17.031100000000002</v>
      </c>
      <c r="G12" s="3">
        <v>30.1114</v>
      </c>
      <c r="H12" s="3">
        <v>99.721217669947364</v>
      </c>
      <c r="I12" s="3">
        <v>83.348592355230025</v>
      </c>
      <c r="J12" s="6">
        <v>1.4897482180874877E-3</v>
      </c>
    </row>
    <row r="13" spans="1:10">
      <c r="A13" s="5">
        <v>12</v>
      </c>
      <c r="B13" s="3">
        <v>527</v>
      </c>
      <c r="C13" s="3">
        <v>531.1355311355311</v>
      </c>
      <c r="D13" s="3">
        <v>4.1355311355311004</v>
      </c>
      <c r="E13" s="3">
        <v>32.948350000000005</v>
      </c>
      <c r="F13" s="3">
        <v>18.517700000000001</v>
      </c>
      <c r="G13" s="3">
        <v>27.239649999999997</v>
      </c>
      <c r="H13" s="3">
        <v>99.721217669947364</v>
      </c>
      <c r="I13" s="3">
        <v>60.345616845960173</v>
      </c>
      <c r="J13" s="6">
        <v>3.288879017007397E-2</v>
      </c>
    </row>
    <row r="14" spans="1:10">
      <c r="A14" s="5">
        <v>13</v>
      </c>
      <c r="B14" s="3">
        <v>721</v>
      </c>
      <c r="C14" s="3">
        <v>725.27472527472526</v>
      </c>
      <c r="D14" s="3">
        <v>4.2747252747253004</v>
      </c>
      <c r="E14" s="3">
        <v>34.780549999999998</v>
      </c>
      <c r="F14" s="3">
        <v>16.483449999999998</v>
      </c>
      <c r="G14" s="3">
        <v>30.626000000000001</v>
      </c>
      <c r="H14" s="3">
        <v>99.721217669947364</v>
      </c>
      <c r="I14" s="3">
        <v>87.129015030136571</v>
      </c>
      <c r="J14" s="6">
        <v>5.0933639261850428E-3</v>
      </c>
    </row>
    <row r="15" spans="1:10">
      <c r="A15" s="5">
        <v>14</v>
      </c>
      <c r="B15" s="3">
        <v>569</v>
      </c>
      <c r="C15" s="3">
        <v>573.26007326007323</v>
      </c>
      <c r="D15" s="3">
        <v>4.2600732600731996</v>
      </c>
      <c r="E15" s="3">
        <v>34.054549999999999</v>
      </c>
      <c r="F15" s="3">
        <v>14.815849999999999</v>
      </c>
      <c r="G15" s="3">
        <v>30.662099999999999</v>
      </c>
      <c r="H15" s="3">
        <v>99.721217669947364</v>
      </c>
      <c r="I15" s="3">
        <v>66.155489433127343</v>
      </c>
      <c r="J15" s="6">
        <v>6.7324095544234082E-3</v>
      </c>
    </row>
    <row r="16" spans="1:10">
      <c r="A16" s="5">
        <v>15</v>
      </c>
      <c r="B16" s="3">
        <v>601</v>
      </c>
      <c r="C16" s="3">
        <v>605.00610500610503</v>
      </c>
      <c r="D16" s="3">
        <v>4.0061050061049999</v>
      </c>
      <c r="E16" s="3">
        <v>34.800650000000005</v>
      </c>
      <c r="F16" s="3">
        <v>14.910450000000001</v>
      </c>
      <c r="G16" s="3">
        <v>31.444650000000003</v>
      </c>
      <c r="H16" s="3">
        <v>99.721217669947364</v>
      </c>
      <c r="I16" s="3">
        <v>70.447089341573204</v>
      </c>
      <c r="J16" s="6">
        <v>1.9794193780542965E-2</v>
      </c>
    </row>
    <row r="17" spans="1:10">
      <c r="A17" s="5">
        <v>16</v>
      </c>
      <c r="B17" s="3">
        <v>750</v>
      </c>
      <c r="C17" s="3">
        <v>754.57875457875457</v>
      </c>
      <c r="D17" s="3">
        <v>4.5787545787545998</v>
      </c>
      <c r="E17" s="3">
        <v>35.514800000000001</v>
      </c>
      <c r="F17" s="3">
        <v>15.884550000000001</v>
      </c>
      <c r="G17" s="3">
        <v>31.762799999999999</v>
      </c>
      <c r="H17" s="3">
        <v>99.724193179217195</v>
      </c>
      <c r="I17" s="3">
        <v>91.268024719615482</v>
      </c>
      <c r="J17" s="6">
        <v>2.6672305631916483E-3</v>
      </c>
    </row>
    <row r="18" spans="1:10">
      <c r="A18" s="5">
        <v>17</v>
      </c>
      <c r="B18" s="3">
        <v>613</v>
      </c>
      <c r="C18" s="3">
        <v>617.21611721611725</v>
      </c>
      <c r="D18" s="3">
        <v>4.2161172161172997</v>
      </c>
      <c r="E18" s="3">
        <v>33.793750000000003</v>
      </c>
      <c r="F18" s="3">
        <v>15.88325</v>
      </c>
      <c r="G18" s="3">
        <v>29.823399999999999</v>
      </c>
      <c r="H18" s="3">
        <v>99.721217669947364</v>
      </c>
      <c r="I18" s="3">
        <v>72.259098191805904</v>
      </c>
      <c r="J18" s="6">
        <v>3.8869551295354168E-3</v>
      </c>
    </row>
    <row r="19" spans="1:10">
      <c r="A19" s="5">
        <v>18</v>
      </c>
      <c r="B19" s="3">
        <v>680</v>
      </c>
      <c r="C19" s="3">
        <v>684.37118437118443</v>
      </c>
      <c r="D19" s="3">
        <v>4.3711843711844001</v>
      </c>
      <c r="E19" s="3">
        <v>33.131</v>
      </c>
      <c r="F19" s="3">
        <v>16.71245</v>
      </c>
      <c r="G19" s="3">
        <v>28.6065</v>
      </c>
      <c r="H19" s="3">
        <v>99.721217669947364</v>
      </c>
      <c r="I19" s="3">
        <v>81.578545815213246</v>
      </c>
      <c r="J19" s="6">
        <v>2.9320637799439037E-3</v>
      </c>
    </row>
    <row r="20" spans="1:10">
      <c r="A20" s="5">
        <v>19</v>
      </c>
      <c r="B20" s="3">
        <v>516</v>
      </c>
      <c r="C20" s="3">
        <v>520.14652014652017</v>
      </c>
      <c r="D20" s="3">
        <v>4.1465201465202002</v>
      </c>
      <c r="E20" s="3">
        <v>33.402299999999997</v>
      </c>
      <c r="F20" s="3">
        <v>20.683450000000001</v>
      </c>
      <c r="G20" s="3">
        <v>26.206600000000002</v>
      </c>
      <c r="H20" s="3">
        <v>99.721217669947364</v>
      </c>
      <c r="I20" s="3">
        <v>58.934157320515752</v>
      </c>
      <c r="J20" s="6">
        <v>3.1065871321987088E-2</v>
      </c>
    </row>
    <row r="21" spans="1:10">
      <c r="A21" s="5">
        <v>20</v>
      </c>
      <c r="B21" s="3">
        <v>577</v>
      </c>
      <c r="C21" s="3">
        <v>581.19658119658118</v>
      </c>
      <c r="D21" s="3">
        <v>4.1965811965812003</v>
      </c>
      <c r="E21" s="3">
        <v>34.685450000000003</v>
      </c>
      <c r="F21" s="3">
        <v>14.623200000000001</v>
      </c>
      <c r="G21" s="3">
        <v>31.45035</v>
      </c>
      <c r="H21" s="3">
        <v>99.721217669947364</v>
      </c>
      <c r="I21" s="3">
        <v>67.215991454947741</v>
      </c>
      <c r="J21" s="6">
        <v>1.1007200918377986E-2</v>
      </c>
    </row>
    <row r="22" spans="1:10">
      <c r="A22" s="5">
        <v>21</v>
      </c>
      <c r="B22" s="3">
        <v>624</v>
      </c>
      <c r="C22" s="3">
        <v>628.20512820512818</v>
      </c>
      <c r="D22" s="3">
        <v>4.2051282051282</v>
      </c>
      <c r="E22" s="3">
        <v>31.174150000000001</v>
      </c>
      <c r="F22" s="3">
        <v>17.2424</v>
      </c>
      <c r="G22" s="3">
        <v>25.971550000000001</v>
      </c>
      <c r="H22" s="3">
        <v>99.718242160677505</v>
      </c>
      <c r="I22" s="3">
        <v>73.750667582207981</v>
      </c>
      <c r="J22" s="6">
        <v>2.2777874022319799E-4</v>
      </c>
    </row>
    <row r="23" spans="1:10">
      <c r="A23" s="5">
        <v>22</v>
      </c>
      <c r="B23" s="3">
        <v>623</v>
      </c>
      <c r="C23" s="3">
        <v>626.98412698412699</v>
      </c>
      <c r="D23" s="3">
        <v>3.9841269841270002</v>
      </c>
      <c r="E23" s="3">
        <v>31.2377</v>
      </c>
      <c r="F23" s="3">
        <v>17.185450000000003</v>
      </c>
      <c r="G23" s="3">
        <v>26.08325</v>
      </c>
      <c r="H23" s="3">
        <v>99.721217669947364</v>
      </c>
      <c r="I23" s="3">
        <v>73.651483939879455</v>
      </c>
      <c r="J23" s="6">
        <v>1.6200498923731873E-2</v>
      </c>
    </row>
    <row r="24" spans="1:10">
      <c r="A24" s="5">
        <v>23</v>
      </c>
      <c r="B24" s="3">
        <v>622</v>
      </c>
      <c r="C24" s="3">
        <v>626.37362637362639</v>
      </c>
      <c r="D24" s="3">
        <v>4.3736263736263998</v>
      </c>
      <c r="E24" s="3">
        <v>30.875350000000001</v>
      </c>
      <c r="F24" s="3">
        <v>16.884650000000001</v>
      </c>
      <c r="G24" s="3">
        <v>25.849299999999999</v>
      </c>
      <c r="H24" s="3">
        <v>99.721217669947364</v>
      </c>
      <c r="I24" s="3">
        <v>73.533226520180051</v>
      </c>
      <c r="J24" s="6">
        <v>1.8251251329132055E-3</v>
      </c>
    </row>
    <row r="25" spans="1:10">
      <c r="A25" s="5">
        <v>24</v>
      </c>
      <c r="B25" s="3">
        <v>594</v>
      </c>
      <c r="C25" s="3">
        <v>597.68009768009767</v>
      </c>
      <c r="D25" s="3">
        <v>3.6800976800976999</v>
      </c>
      <c r="E25" s="3">
        <v>34.98115</v>
      </c>
      <c r="F25" s="3">
        <v>13.980700000000001</v>
      </c>
      <c r="G25" s="3">
        <v>32.065849999999998</v>
      </c>
      <c r="H25" s="3">
        <v>99.721217669947364</v>
      </c>
      <c r="I25" s="3">
        <v>69.634546425574115</v>
      </c>
      <c r="J25" s="6">
        <v>2.705108791174088E-3</v>
      </c>
    </row>
    <row r="26" spans="1:10">
      <c r="A26" s="5">
        <v>25</v>
      </c>
      <c r="B26" s="3">
        <v>550</v>
      </c>
      <c r="C26" s="3">
        <v>553.72405372405376</v>
      </c>
      <c r="D26" s="3">
        <v>3.7240537240538001</v>
      </c>
      <c r="E26" s="3">
        <v>33.284050000000001</v>
      </c>
      <c r="F26" s="3">
        <v>15.190149999999999</v>
      </c>
      <c r="G26" s="3">
        <v>29.615100000000002</v>
      </c>
      <c r="H26" s="3">
        <v>99.721217669947364</v>
      </c>
      <c r="I26" s="3">
        <v>63.576714732585643</v>
      </c>
      <c r="J26" s="6">
        <v>7.2942517436548789E-3</v>
      </c>
    </row>
    <row r="27" spans="1:10">
      <c r="A27" s="5">
        <v>26</v>
      </c>
      <c r="B27" s="3">
        <v>713</v>
      </c>
      <c r="C27" s="3">
        <v>717.33821733821731</v>
      </c>
      <c r="D27" s="3">
        <v>4.3382173382172997</v>
      </c>
      <c r="E27" s="3">
        <v>34.6858</v>
      </c>
      <c r="F27" s="3">
        <v>15.790749999999999</v>
      </c>
      <c r="G27" s="3">
        <v>30.878549999999997</v>
      </c>
      <c r="H27" s="3">
        <v>99.721217669947364</v>
      </c>
      <c r="I27" s="3">
        <v>86.266880292973227</v>
      </c>
      <c r="J27" s="6">
        <v>8.0761181371086441E-3</v>
      </c>
    </row>
    <row r="28" spans="1:10">
      <c r="A28" s="5">
        <v>27</v>
      </c>
      <c r="B28" s="3">
        <v>674</v>
      </c>
      <c r="C28" s="3">
        <v>678.87667887667885</v>
      </c>
      <c r="D28" s="3">
        <v>4.8766788766789002</v>
      </c>
      <c r="E28" s="3">
        <v>33.766449999999999</v>
      </c>
      <c r="F28" s="3">
        <v>17.144500000000001</v>
      </c>
      <c r="G28" s="3">
        <v>29.090200000000003</v>
      </c>
      <c r="H28" s="3">
        <v>99.721217669947364</v>
      </c>
      <c r="I28" s="3">
        <v>80.971999694819559</v>
      </c>
      <c r="J28" s="6">
        <v>2.3868683693982918E-3</v>
      </c>
    </row>
    <row r="29" spans="1:10">
      <c r="A29" s="5">
        <v>28</v>
      </c>
      <c r="B29" s="3">
        <v>535</v>
      </c>
      <c r="C29" s="3">
        <v>539.07203907203905</v>
      </c>
      <c r="D29" s="3">
        <v>4.0720390720389998</v>
      </c>
      <c r="E29" s="3">
        <v>28.9482</v>
      </c>
      <c r="F29" s="3">
        <v>15.878500000000001</v>
      </c>
      <c r="G29" s="3">
        <v>24.203849999999999</v>
      </c>
      <c r="H29" s="3">
        <v>99.721217669947364</v>
      </c>
      <c r="I29" s="3">
        <v>61.650263218127719</v>
      </c>
      <c r="J29" s="6">
        <v>1.4311641171896291E-3</v>
      </c>
    </row>
    <row r="30" spans="1:10">
      <c r="A30" s="5">
        <v>29</v>
      </c>
      <c r="B30" s="3">
        <v>728</v>
      </c>
      <c r="C30" s="3">
        <v>732.60073260073261</v>
      </c>
      <c r="D30" s="3">
        <v>4.6007326007326004</v>
      </c>
      <c r="E30" s="3">
        <v>35.923249999999996</v>
      </c>
      <c r="F30" s="3">
        <v>16.021349999999998</v>
      </c>
      <c r="G30" s="3">
        <v>32.152650000000001</v>
      </c>
      <c r="H30" s="3">
        <v>99.721217669947364</v>
      </c>
      <c r="I30" s="3">
        <v>88.467994201571685</v>
      </c>
      <c r="J30" s="6">
        <v>5.535379814147352E-3</v>
      </c>
    </row>
    <row r="31" spans="1:10">
      <c r="A31" s="5">
        <v>30</v>
      </c>
      <c r="B31" s="3">
        <v>662</v>
      </c>
      <c r="C31" s="3">
        <v>666.66666666666663</v>
      </c>
      <c r="D31" s="3">
        <v>4.6666666666666003</v>
      </c>
      <c r="E31" s="3">
        <v>33.24145</v>
      </c>
      <c r="F31" s="3">
        <v>17.03895</v>
      </c>
      <c r="G31" s="3">
        <v>28.541250000000002</v>
      </c>
      <c r="H31" s="3">
        <v>99.724193179217195</v>
      </c>
      <c r="I31" s="3">
        <v>79.331654840924699</v>
      </c>
      <c r="J31" s="6">
        <v>3.5651537114668049E-3</v>
      </c>
    </row>
    <row r="32" spans="1:10">
      <c r="A32" s="5">
        <v>31</v>
      </c>
      <c r="B32" s="3">
        <v>534</v>
      </c>
      <c r="C32" s="3">
        <v>537.85103785103786</v>
      </c>
      <c r="D32" s="3">
        <v>3.8510378510379</v>
      </c>
      <c r="E32" s="3">
        <v>29.11515</v>
      </c>
      <c r="F32" s="3">
        <v>16.244450000000001</v>
      </c>
      <c r="G32" s="3">
        <v>24.145399999999999</v>
      </c>
      <c r="H32" s="3">
        <v>99.721217669947364</v>
      </c>
      <c r="I32" s="3">
        <v>61.50148775463493</v>
      </c>
      <c r="J32" s="6">
        <v>3.8426397538358248E-2</v>
      </c>
    </row>
    <row r="33" spans="1:10">
      <c r="A33" s="5">
        <v>32</v>
      </c>
      <c r="B33" s="3">
        <v>536</v>
      </c>
      <c r="C33" s="3">
        <v>539.68253968253964</v>
      </c>
      <c r="D33" s="3">
        <v>3.6825396825396002</v>
      </c>
      <c r="E33" s="3">
        <v>33.1755</v>
      </c>
      <c r="F33" s="3">
        <v>16.0566</v>
      </c>
      <c r="G33" s="3">
        <v>29.004199999999997</v>
      </c>
      <c r="H33" s="3">
        <v>99.718242160677505</v>
      </c>
      <c r="I33" s="3">
        <v>61.642633707179371</v>
      </c>
      <c r="J33" s="6">
        <v>1.2130217889039006E-2</v>
      </c>
    </row>
    <row r="34" spans="1:10">
      <c r="A34" s="5">
        <v>33</v>
      </c>
      <c r="B34" s="3">
        <v>533</v>
      </c>
      <c r="C34" s="3">
        <v>537.24053724053726</v>
      </c>
      <c r="D34" s="3">
        <v>4.2405372405373001</v>
      </c>
      <c r="E34" s="3">
        <v>29.1297</v>
      </c>
      <c r="F34" s="3">
        <v>16.00055</v>
      </c>
      <c r="G34" s="3">
        <v>24.341750000000001</v>
      </c>
      <c r="H34" s="3">
        <v>99.718242160677505</v>
      </c>
      <c r="I34" s="3">
        <v>61.299305714503703</v>
      </c>
      <c r="J34" s="6">
        <v>1.7984004211970096E-2</v>
      </c>
    </row>
    <row r="35" spans="1:10">
      <c r="A35" s="5">
        <v>34</v>
      </c>
      <c r="B35" s="3">
        <v>563</v>
      </c>
      <c r="C35" s="3">
        <v>567.15506715506717</v>
      </c>
      <c r="D35" s="3">
        <v>4.1550671550671998</v>
      </c>
      <c r="E35" s="3">
        <v>34.770350000000001</v>
      </c>
      <c r="F35" s="3">
        <v>15.321949999999999</v>
      </c>
      <c r="G35" s="3">
        <v>31.211500000000001</v>
      </c>
      <c r="H35" s="3">
        <v>99.721217669947364</v>
      </c>
      <c r="I35" s="3">
        <v>65.377279316395814</v>
      </c>
      <c r="J35" s="6">
        <v>3.3677211561453308E-3</v>
      </c>
    </row>
    <row r="36" spans="1:10">
      <c r="A36" s="5">
        <v>35</v>
      </c>
      <c r="B36" s="3">
        <v>742</v>
      </c>
      <c r="C36" s="3">
        <v>746.64224664224662</v>
      </c>
      <c r="D36" s="3">
        <v>4.6422466422466</v>
      </c>
      <c r="E36" s="3">
        <v>35.895499999999998</v>
      </c>
      <c r="F36" s="3">
        <v>16.212449999999997</v>
      </c>
      <c r="G36" s="3">
        <v>32.025349999999996</v>
      </c>
      <c r="H36" s="3">
        <v>99.721217669947364</v>
      </c>
      <c r="I36" s="3">
        <v>90.375371938658716</v>
      </c>
      <c r="J36" s="6">
        <v>6.7253292783828068E-3</v>
      </c>
    </row>
    <row r="37" spans="1:10">
      <c r="A37" s="5">
        <v>36</v>
      </c>
      <c r="B37" s="3">
        <v>686</v>
      </c>
      <c r="C37" s="3">
        <v>690.47619047619048</v>
      </c>
      <c r="D37" s="3">
        <v>4.4761904761905003</v>
      </c>
      <c r="E37" s="3">
        <v>34.867350000000002</v>
      </c>
      <c r="F37" s="3">
        <v>17.17905</v>
      </c>
      <c r="G37" s="3">
        <v>30.341249999999999</v>
      </c>
      <c r="H37" s="3">
        <v>99.718242160677505</v>
      </c>
      <c r="I37" s="3">
        <v>82.726787212939655</v>
      </c>
      <c r="J37" s="6">
        <v>1.2557071036485016E-2</v>
      </c>
    </row>
    <row r="38" spans="1:10">
      <c r="A38" s="5">
        <v>38</v>
      </c>
      <c r="B38" s="3">
        <v>647</v>
      </c>
      <c r="C38" s="3">
        <v>651.40415140415143</v>
      </c>
      <c r="D38" s="3">
        <v>4.4041514041514001</v>
      </c>
      <c r="E38" s="3">
        <v>32.476100000000002</v>
      </c>
      <c r="F38" s="3">
        <v>17.384799999999998</v>
      </c>
      <c r="G38" s="3">
        <v>27.429450000000003</v>
      </c>
      <c r="H38" s="3">
        <v>99.721217669947364</v>
      </c>
      <c r="I38" s="3">
        <v>77.279316395819023</v>
      </c>
      <c r="J38" s="6">
        <v>7.7028885832187647E-3</v>
      </c>
    </row>
    <row r="39" spans="1:10">
      <c r="A39" s="5">
        <v>39</v>
      </c>
      <c r="B39" s="3">
        <v>699</v>
      </c>
      <c r="C39" s="3">
        <v>702.68620268620271</v>
      </c>
      <c r="D39" s="3">
        <v>3.6862026862027002</v>
      </c>
      <c r="E39" s="3">
        <v>34.902100000000004</v>
      </c>
      <c r="F39" s="3">
        <v>15.984100000000002</v>
      </c>
      <c r="G39" s="3">
        <v>31.026850000000003</v>
      </c>
      <c r="H39" s="3">
        <v>99.721217669947364</v>
      </c>
      <c r="I39" s="3">
        <v>84.676127260242623</v>
      </c>
      <c r="J39" s="6">
        <v>1.1741175385608637E-2</v>
      </c>
    </row>
    <row r="40" spans="1:10">
      <c r="A40" s="5">
        <v>40</v>
      </c>
      <c r="B40" s="3">
        <v>590</v>
      </c>
      <c r="C40" s="3">
        <v>594.017094017094</v>
      </c>
      <c r="D40" s="3">
        <v>4.0170940170940002</v>
      </c>
      <c r="E40" s="3">
        <v>36.036299999999997</v>
      </c>
      <c r="F40" s="3">
        <v>14.2685</v>
      </c>
      <c r="G40" s="3">
        <v>33.090299999999999</v>
      </c>
      <c r="H40" s="3">
        <v>99.721217669947364</v>
      </c>
      <c r="I40" s="3">
        <v>69.497215228503848</v>
      </c>
      <c r="J40" s="6">
        <v>1.177283972555974E-3</v>
      </c>
    </row>
    <row r="41" spans="1:10">
      <c r="A41" s="5">
        <v>41</v>
      </c>
      <c r="B41" s="3">
        <v>717</v>
      </c>
      <c r="C41" s="3">
        <v>721.61172161172158</v>
      </c>
      <c r="D41" s="3">
        <v>4.6117216117215998</v>
      </c>
      <c r="E41" s="3">
        <v>35.377300000000005</v>
      </c>
      <c r="F41" s="3">
        <v>15.960150000000001</v>
      </c>
      <c r="G41" s="3">
        <v>31.57255</v>
      </c>
      <c r="H41" s="3">
        <v>99.721217669947364</v>
      </c>
      <c r="I41" s="3">
        <v>87.285420004577702</v>
      </c>
      <c r="J41" s="6">
        <v>1.2520906101737259E-2</v>
      </c>
    </row>
    <row r="42" spans="1:10">
      <c r="A42" s="5">
        <v>42</v>
      </c>
      <c r="B42" s="3">
        <v>537</v>
      </c>
      <c r="C42" s="3">
        <v>540.90354090354094</v>
      </c>
      <c r="D42" s="3">
        <v>3.9035409035408999</v>
      </c>
      <c r="E42" s="3">
        <v>34.494500000000002</v>
      </c>
      <c r="F42" s="3">
        <v>16.31335</v>
      </c>
      <c r="G42" s="3">
        <v>30.39265</v>
      </c>
      <c r="H42" s="3">
        <v>99.721217669947364</v>
      </c>
      <c r="I42" s="3">
        <v>62.161440451667048</v>
      </c>
      <c r="J42" s="6">
        <v>7.6944791239236601E-3</v>
      </c>
    </row>
    <row r="43" spans="1:10">
      <c r="A43" s="5">
        <v>43</v>
      </c>
      <c r="B43" s="3">
        <v>532</v>
      </c>
      <c r="C43" s="3">
        <v>536.01953601953608</v>
      </c>
      <c r="D43" s="3">
        <v>4.0195360195361003</v>
      </c>
      <c r="E43" s="3">
        <v>34.02975</v>
      </c>
      <c r="F43" s="3">
        <v>17.418150000000001</v>
      </c>
      <c r="G43" s="3">
        <v>29.18235</v>
      </c>
      <c r="H43" s="3">
        <v>99.721217669947364</v>
      </c>
      <c r="I43" s="3">
        <v>61.371786068513011</v>
      </c>
      <c r="J43" s="6">
        <v>6.1166145263916616E-2</v>
      </c>
    </row>
    <row r="44" spans="1:10">
      <c r="A44" s="5">
        <v>44</v>
      </c>
      <c r="B44" s="3">
        <v>538</v>
      </c>
      <c r="C44" s="3">
        <v>542.12454212454213</v>
      </c>
      <c r="D44" s="3">
        <v>4.1245421245421001</v>
      </c>
      <c r="E44" s="3">
        <v>29.681950000000001</v>
      </c>
      <c r="F44" s="3">
        <v>16.291899999999998</v>
      </c>
      <c r="G44" s="3">
        <v>24.810650000000003</v>
      </c>
      <c r="H44" s="3">
        <v>99.721217669947364</v>
      </c>
      <c r="I44" s="3">
        <v>62.130922407873655</v>
      </c>
      <c r="J44" s="6">
        <v>4.5010518211869681E-3</v>
      </c>
    </row>
    <row r="45" spans="1:10">
      <c r="A45" s="5">
        <v>45</v>
      </c>
      <c r="B45" s="3">
        <v>632</v>
      </c>
      <c r="C45" s="3">
        <v>636.75213675213672</v>
      </c>
      <c r="D45" s="3">
        <v>4.7521367521366997</v>
      </c>
      <c r="E45" s="3">
        <v>32.253950000000003</v>
      </c>
      <c r="F45" s="3">
        <v>17.225099999999998</v>
      </c>
      <c r="G45" s="3">
        <v>27.266950000000001</v>
      </c>
      <c r="H45" s="3">
        <v>99.721217669947364</v>
      </c>
      <c r="I45" s="3">
        <v>75.169756618600744</v>
      </c>
      <c r="J45" s="6">
        <v>1.0023961536903568E-2</v>
      </c>
    </row>
    <row r="46" spans="1:10">
      <c r="A46" s="5">
        <v>46</v>
      </c>
      <c r="B46" s="3">
        <v>651</v>
      </c>
      <c r="C46" s="3">
        <v>655.67765567765571</v>
      </c>
      <c r="D46" s="3">
        <v>4.6776556776557001</v>
      </c>
      <c r="E46" s="3">
        <v>33.179850000000002</v>
      </c>
      <c r="F46" s="3">
        <v>16.776000000000003</v>
      </c>
      <c r="G46" s="3">
        <v>28.625499999999999</v>
      </c>
      <c r="H46" s="3">
        <v>99.721217669947364</v>
      </c>
      <c r="I46" s="3">
        <v>77.893492027161059</v>
      </c>
      <c r="J46" s="6">
        <v>1.4166227111746528E-4</v>
      </c>
    </row>
    <row r="47" spans="1:10">
      <c r="A47" s="5">
        <v>47</v>
      </c>
      <c r="B47" s="3">
        <v>582</v>
      </c>
      <c r="C47" s="3">
        <v>586.08058608058604</v>
      </c>
      <c r="D47" s="3">
        <v>4.0805860805860004</v>
      </c>
      <c r="E47" s="3">
        <v>35.810050000000004</v>
      </c>
      <c r="F47" s="3">
        <v>13.911300000000001</v>
      </c>
      <c r="G47" s="3">
        <v>32.993899999999996</v>
      </c>
      <c r="H47" s="3">
        <v>99.721217669947364</v>
      </c>
      <c r="I47" s="3">
        <v>68.322270542458227</v>
      </c>
      <c r="J47" s="6">
        <v>9.2889506094909237E-3</v>
      </c>
    </row>
    <row r="48" spans="1:10">
      <c r="A48" s="5">
        <v>48</v>
      </c>
      <c r="B48" s="3">
        <v>746</v>
      </c>
      <c r="C48" s="3">
        <v>750.3052503052503</v>
      </c>
      <c r="D48" s="3">
        <v>4.3052503052502997</v>
      </c>
      <c r="E48" s="3">
        <v>36.476050000000001</v>
      </c>
      <c r="F48" s="3">
        <v>16.076799999999999</v>
      </c>
      <c r="G48" s="3">
        <v>32.741100000000003</v>
      </c>
      <c r="H48" s="3">
        <v>99.721217669947364</v>
      </c>
      <c r="I48" s="3">
        <v>91.275654230563816</v>
      </c>
      <c r="J48" s="6">
        <v>1.3215919815876651E-2</v>
      </c>
    </row>
    <row r="49" spans="1:10">
      <c r="A49" s="5">
        <v>49</v>
      </c>
      <c r="B49" s="3">
        <v>607</v>
      </c>
      <c r="C49" s="3">
        <v>611.11111111111109</v>
      </c>
      <c r="D49" s="3">
        <v>4.1111111111111001</v>
      </c>
      <c r="E49" s="3">
        <v>33.606400000000001</v>
      </c>
      <c r="F49" s="3">
        <v>15.4207</v>
      </c>
      <c r="G49" s="3">
        <v>29.8535</v>
      </c>
      <c r="H49" s="3">
        <v>99.721217669947364</v>
      </c>
      <c r="I49" s="3">
        <v>71.911955443656055</v>
      </c>
      <c r="J49" s="6">
        <v>3.5592174491082232E-3</v>
      </c>
    </row>
    <row r="50" spans="1:10">
      <c r="A50" s="5">
        <v>50</v>
      </c>
      <c r="B50" s="3">
        <v>659</v>
      </c>
      <c r="C50" s="3">
        <v>663.61416361416366</v>
      </c>
      <c r="D50" s="3">
        <v>4.6141636141636999</v>
      </c>
      <c r="E50" s="3">
        <v>33.773250000000004</v>
      </c>
      <c r="F50" s="3">
        <v>17.3507</v>
      </c>
      <c r="G50" s="3">
        <v>28.973649999999999</v>
      </c>
      <c r="H50" s="3">
        <v>99.721217669947364</v>
      </c>
      <c r="I50" s="3">
        <v>79.087510490577557</v>
      </c>
      <c r="J50" s="6">
        <v>7.5759827378156924E-3</v>
      </c>
    </row>
    <row r="51" spans="1:10">
      <c r="A51" s="5">
        <v>51</v>
      </c>
      <c r="B51" s="3">
        <v>598</v>
      </c>
      <c r="C51" s="3">
        <v>601.95360195360195</v>
      </c>
      <c r="D51" s="3">
        <v>3.953601953602</v>
      </c>
      <c r="E51" s="3">
        <v>36.042499999999997</v>
      </c>
      <c r="F51" s="3">
        <v>14.55125</v>
      </c>
      <c r="G51" s="3">
        <v>32.974249999999998</v>
      </c>
      <c r="H51" s="3">
        <v>99.721217669947364</v>
      </c>
      <c r="I51" s="3">
        <v>70.508125429159989</v>
      </c>
      <c r="J51" s="6">
        <v>3.741466343481035E-3</v>
      </c>
    </row>
    <row r="52" spans="1:10">
      <c r="A52" s="5">
        <v>52</v>
      </c>
      <c r="B52" s="3">
        <v>531</v>
      </c>
      <c r="C52" s="3">
        <v>534.79853479853477</v>
      </c>
      <c r="D52" s="3">
        <v>3.7985347985348001</v>
      </c>
      <c r="E52" s="3">
        <v>29.648299999999999</v>
      </c>
      <c r="F52" s="3">
        <v>17.4893</v>
      </c>
      <c r="G52" s="3">
        <v>23.93675</v>
      </c>
      <c r="H52" s="3">
        <v>99.721217669947364</v>
      </c>
      <c r="I52" s="3">
        <v>61.169604028381784</v>
      </c>
      <c r="J52" s="6">
        <v>7.7878191736108198E-3</v>
      </c>
    </row>
    <row r="53" spans="1:10">
      <c r="A53" s="5">
        <v>53</v>
      </c>
      <c r="B53" s="3">
        <v>539</v>
      </c>
      <c r="C53" s="3">
        <v>542.73504273504273</v>
      </c>
      <c r="D53" s="3">
        <v>3.7350427350427</v>
      </c>
      <c r="E53" s="3">
        <v>29.420200000000001</v>
      </c>
      <c r="F53" s="3">
        <v>16.255499999999998</v>
      </c>
      <c r="G53" s="3">
        <v>24.520900000000001</v>
      </c>
      <c r="H53" s="3">
        <v>99.721217669947364</v>
      </c>
      <c r="I53" s="3">
        <v>62.237735561150529</v>
      </c>
      <c r="J53" s="6">
        <v>9.9609214877161966E-3</v>
      </c>
    </row>
    <row r="54" spans="1:10">
      <c r="A54" s="5">
        <v>54</v>
      </c>
      <c r="B54" s="3">
        <v>530</v>
      </c>
      <c r="C54" s="3">
        <v>534.18803418803418</v>
      </c>
      <c r="D54" s="3">
        <v>4.1880341880341998</v>
      </c>
      <c r="E54" s="3">
        <v>29.649000000000001</v>
      </c>
      <c r="F54" s="3">
        <v>17.7104</v>
      </c>
      <c r="G54" s="3">
        <v>23.777249999999999</v>
      </c>
      <c r="H54" s="3">
        <v>99.721217669947364</v>
      </c>
      <c r="I54" s="3">
        <v>60.96742198825055</v>
      </c>
      <c r="J54" s="6">
        <v>8.093601313940324E-3</v>
      </c>
    </row>
    <row r="55" spans="1:10">
      <c r="A55" s="5">
        <v>55</v>
      </c>
      <c r="B55" s="3">
        <v>725</v>
      </c>
      <c r="C55" s="3">
        <v>729.54822954822953</v>
      </c>
      <c r="D55" s="3">
        <v>4.5482295482295001</v>
      </c>
      <c r="E55" s="3">
        <v>35.366300000000003</v>
      </c>
      <c r="F55" s="3">
        <v>16.01145</v>
      </c>
      <c r="G55" s="3">
        <v>31.532399999999999</v>
      </c>
      <c r="H55" s="3">
        <v>99.721217669947364</v>
      </c>
      <c r="I55" s="3">
        <v>88.097962920576791</v>
      </c>
      <c r="J55" s="6">
        <v>3.8926159285617018E-3</v>
      </c>
    </row>
    <row r="56" spans="1:10">
      <c r="A56" s="5">
        <v>56</v>
      </c>
      <c r="B56" s="3">
        <v>643</v>
      </c>
      <c r="C56" s="3">
        <v>647.74114774114776</v>
      </c>
      <c r="D56" s="3">
        <v>4.7411477411477998</v>
      </c>
      <c r="E56" s="3">
        <v>32.809899999999999</v>
      </c>
      <c r="F56" s="3">
        <v>17.626449999999998</v>
      </c>
      <c r="G56" s="3">
        <v>27.67305</v>
      </c>
      <c r="H56" s="3">
        <v>99.721217669947364</v>
      </c>
      <c r="I56" s="3">
        <v>76.802471961547269</v>
      </c>
      <c r="J56" s="6">
        <v>9.0867510291207801E-4</v>
      </c>
    </row>
    <row r="57" spans="1:10">
      <c r="A57" s="5">
        <v>57</v>
      </c>
      <c r="B57" s="3">
        <v>665</v>
      </c>
      <c r="C57" s="3">
        <v>669.71916971916971</v>
      </c>
      <c r="D57" s="3">
        <v>4.7191697191696997</v>
      </c>
      <c r="E57" s="3">
        <v>33.911299999999997</v>
      </c>
      <c r="F57" s="3">
        <v>16.698350000000001</v>
      </c>
      <c r="G57" s="3">
        <v>29.514800000000001</v>
      </c>
      <c r="H57" s="3">
        <v>99.721217669947364</v>
      </c>
      <c r="I57" s="3">
        <v>79.911497672999161</v>
      </c>
      <c r="J57" s="6">
        <v>4.2554071744982415E-3</v>
      </c>
    </row>
    <row r="58" spans="1:10">
      <c r="A58" s="5">
        <v>58</v>
      </c>
      <c r="B58" s="3">
        <v>702</v>
      </c>
      <c r="C58" s="3">
        <v>706.34920634920638</v>
      </c>
      <c r="D58" s="3">
        <v>4.3492063492064004</v>
      </c>
      <c r="E58" s="3">
        <v>34.752650000000003</v>
      </c>
      <c r="F58" s="3">
        <v>16.15475</v>
      </c>
      <c r="G58" s="3">
        <v>30.7651</v>
      </c>
      <c r="H58" s="3">
        <v>99.721217669947364</v>
      </c>
      <c r="I58" s="3">
        <v>85.198748760204467</v>
      </c>
      <c r="J58" s="6">
        <v>8.68436871430882E-3</v>
      </c>
    </row>
    <row r="59" spans="1:10">
      <c r="A59" s="5">
        <v>59</v>
      </c>
      <c r="B59" s="3">
        <v>566</v>
      </c>
      <c r="C59" s="3">
        <v>570.20757020757026</v>
      </c>
      <c r="D59" s="3">
        <v>4.2075702075703001</v>
      </c>
      <c r="E59" s="3">
        <v>34.197800000000001</v>
      </c>
      <c r="F59" s="3">
        <v>13.971150000000002</v>
      </c>
      <c r="G59" s="3">
        <v>31.213099999999997</v>
      </c>
      <c r="H59" s="3">
        <v>99.721217669947364</v>
      </c>
      <c r="I59" s="3">
        <v>66.300450141145959</v>
      </c>
      <c r="J59" s="6">
        <v>1.256462542997795E-2</v>
      </c>
    </row>
    <row r="60" spans="1:10">
      <c r="A60" s="5">
        <v>60</v>
      </c>
      <c r="B60" s="3">
        <v>618</v>
      </c>
      <c r="C60" s="3">
        <v>622.10012210012212</v>
      </c>
      <c r="D60" s="3">
        <v>4.1001221001220998</v>
      </c>
      <c r="E60" s="3">
        <v>35.892499999999998</v>
      </c>
      <c r="F60" s="3">
        <v>17.019399999999997</v>
      </c>
      <c r="G60" s="3">
        <v>31.600650000000002</v>
      </c>
      <c r="H60" s="3">
        <v>99.721217669947364</v>
      </c>
      <c r="I60" s="3">
        <v>73.483634699015795</v>
      </c>
      <c r="J60" s="6">
        <v>9.2253349641874295E-3</v>
      </c>
    </row>
    <row r="61" spans="1:10">
      <c r="A61" s="10">
        <v>61</v>
      </c>
      <c r="B61" s="11">
        <v>671</v>
      </c>
      <c r="C61" s="11">
        <v>675.82417582417577</v>
      </c>
      <c r="D61" s="11">
        <v>4.8241758241757999</v>
      </c>
      <c r="E61" s="11">
        <v>32.78425</v>
      </c>
      <c r="F61" s="11">
        <v>16.33905</v>
      </c>
      <c r="G61" s="11">
        <v>28.420400000000001</v>
      </c>
      <c r="H61" s="11">
        <v>99.724193179217195</v>
      </c>
      <c r="I61" s="11">
        <v>80.930037384603651</v>
      </c>
      <c r="J61" s="12">
        <v>6.9388966939996719E-3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F9F6-3191-4B5C-BD88-1995EAA8BC52}">
  <dimension ref="A1:P8"/>
  <sheetViews>
    <sheetView workbookViewId="0"/>
  </sheetViews>
  <sheetFormatPr defaultRowHeight="13.9"/>
  <cols>
    <col min="1" max="2" width="15.59765625" customWidth="1"/>
    <col min="4" max="4" width="13.59765625" customWidth="1"/>
    <col min="5" max="5" width="55.59765625" customWidth="1"/>
  </cols>
  <sheetData>
    <row r="1" spans="1:16" ht="25.5">
      <c r="A1" s="19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3" spans="1:16">
      <c r="A3" s="2" t="s">
        <v>32</v>
      </c>
      <c r="B3" s="2" t="s">
        <v>33</v>
      </c>
      <c r="D3" s="2" t="s">
        <v>34</v>
      </c>
      <c r="E3" s="2"/>
    </row>
    <row r="4" spans="1:16">
      <c r="A4" s="1" t="s">
        <v>35</v>
      </c>
      <c r="B4" s="1">
        <f>COUNTA(有效原始数据!A2:A61)</f>
        <v>60</v>
      </c>
      <c r="D4" s="1" t="s">
        <v>40</v>
      </c>
      <c r="E4" s="21" t="s">
        <v>41</v>
      </c>
    </row>
    <row r="5" spans="1:16">
      <c r="A5" s="1" t="s">
        <v>36</v>
      </c>
      <c r="B5" s="3">
        <f>INDEX(有效原始数据!B2:B61,MATCH(MIN(有效原始数据!E2:E61),有效原始数据!E2:E61,0))</f>
        <v>535</v>
      </c>
      <c r="D5" s="1" t="s">
        <v>42</v>
      </c>
      <c r="E5" s="21" t="s">
        <v>43</v>
      </c>
    </row>
    <row r="6" spans="1:16">
      <c r="A6" s="1" t="s">
        <v>37</v>
      </c>
      <c r="B6" s="3">
        <f>MIN(有效原始数据!E2:E61)</f>
        <v>28.9482</v>
      </c>
    </row>
    <row r="7" spans="1:16">
      <c r="A7" s="1" t="s">
        <v>38</v>
      </c>
      <c r="B7" s="3">
        <f>CORREL(有效原始数据!B2:B61,有效原始数据!E2:E61)</f>
        <v>0.49860172296066269</v>
      </c>
    </row>
    <row r="8" spans="1:16">
      <c r="A8" s="1" t="s">
        <v>39</v>
      </c>
      <c r="B8" s="3">
        <f>RSQ(有效原始数据!E2:E61,有效原始数据!B2:B61)</f>
        <v>0.24860367813934153</v>
      </c>
    </row>
  </sheetData>
  <mergeCells count="1">
    <mergeCell ref="A1:P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弃用候选</vt:lpstr>
      <vt:lpstr>Uc分段统计</vt:lpstr>
      <vt:lpstr>Score排序</vt:lpstr>
      <vt:lpstr>有效原始数据</vt:lpstr>
      <vt:lpstr>Uc-score关系图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凌</dc:creator>
  <cp:lastModifiedBy>瑞 凌</cp:lastModifiedBy>
  <dcterms:created xsi:type="dcterms:W3CDTF">2026-07-30T06:06:02Z</dcterms:created>
  <dcterms:modified xsi:type="dcterms:W3CDTF">2026-07-30T06:06:08Z</dcterms:modified>
</cp:coreProperties>
</file>