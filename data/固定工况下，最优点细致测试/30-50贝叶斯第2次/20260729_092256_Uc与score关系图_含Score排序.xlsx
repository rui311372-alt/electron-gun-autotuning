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实验数据\10， Ua100，Ia80 最终成果\30-50贝叶斯第2次\文字报告\"/>
    </mc:Choice>
  </mc:AlternateContent>
  <xr:revisionPtr revIDLastSave="0" documentId="8_{11E0D19C-C365-46C9-904B-71A527D4B1C8}" xr6:coauthVersionLast="47" xr6:coauthVersionMax="47" xr10:uidLastSave="{00000000-0000-0000-0000-000000000000}"/>
  <bookViews>
    <workbookView xWindow="-98" yWindow="-98" windowWidth="23596" windowHeight="15076" xr2:uid="{F91C9282-88DF-49F0-B2CA-28B3B1A2E9B4}"/>
  </bookViews>
  <sheets>
    <sheet name="弃用候选" sheetId="5" r:id="rId1"/>
    <sheet name="Uc分段统计" sheetId="4" r:id="rId2"/>
    <sheet name="Score排序" sheetId="3" r:id="rId3"/>
    <sheet name="有效原始数据" sheetId="2" r:id="rId4"/>
    <sheet name="Uc-score关系图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<sst xmlns="http://schemas.openxmlformats.org/spreadsheetml/2006/main" count="81" uniqueCount="44">
  <si>
    <t>迭代</t>
  </si>
  <si>
    <t>Uc设定(V)</t>
  </si>
  <si>
    <t>Uc反馈(V)</t>
  </si>
  <si>
    <t>Uc反馈差(V)</t>
  </si>
  <si>
    <t>score</t>
  </si>
  <si>
    <t>x1</t>
  </si>
  <si>
    <t>x2</t>
  </si>
  <si>
    <t>Ua反馈(kV)</t>
  </si>
  <si>
    <t>Ug反馈(V)</t>
  </si>
  <si>
    <t>三拍相对差</t>
  </si>
  <si>
    <t>排名</t>
  </si>
  <si>
    <t>接受拍次</t>
  </si>
  <si>
    <t>第1拍score</t>
  </si>
  <si>
    <t>第2拍score</t>
  </si>
  <si>
    <t>第3拍score</t>
  </si>
  <si>
    <t>1, 2</t>
  </si>
  <si>
    <t>2, 3</t>
  </si>
  <si>
    <t>1, 3</t>
  </si>
  <si>
    <t>Uc区间(V)</t>
  </si>
  <si>
    <t>候选数</t>
  </si>
  <si>
    <t>平均score</t>
  </si>
  <si>
    <t>中位数score</t>
  </si>
  <si>
    <t>最低score</t>
  </si>
  <si>
    <t>最高score</t>
  </si>
  <si>
    <t>500–550</t>
  </si>
  <si>
    <t>550–600</t>
  </si>
  <si>
    <t>600–650</t>
  </si>
  <si>
    <t>650–675</t>
  </si>
  <si>
    <t>675–700</t>
  </si>
  <si>
    <t>700–750</t>
  </si>
  <si>
    <t>本报告目录未提供失败记录文件</t>
  </si>
  <si>
    <t>Uc 与 score 关系图（运行 20260729_092256）</t>
  </si>
  <si>
    <t>指标</t>
  </si>
  <si>
    <t>数值</t>
  </si>
  <si>
    <t>结论</t>
  </si>
  <si>
    <t>有效候选数</t>
  </si>
  <si>
    <t>最佳 Uc设定(V)</t>
  </si>
  <si>
    <t>最低 score</t>
  </si>
  <si>
    <t>Pearson r</t>
  </si>
  <si>
    <t>线性模型 R²</t>
  </si>
  <si>
    <t>最佳点</t>
  </si>
  <si>
    <t>最低 score=30.1310，出现在 Uc=542 V（迭代 9）。</t>
  </si>
  <si>
    <t>说明</t>
  </si>
  <si>
    <t>完整数据、Score 排序及 Uc 分段统计见对应工作表。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</si>
</sst>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Microsoft YaHei"/>
      <family val="2"/>
      <charset val="134"/>
    </font>
    <font>
      <b/>
      <sz val="9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10">
    <border>
      <left/>
      <right/>
      <top/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 style="thin">
        <color rgb="FFD4DEE6"/>
      </bottom>
      <diagonal/>
    </border>
    <border>
      <left style="thin">
        <color rgb="FFD4DEE6"/>
      </left>
      <right/>
      <top style="thin">
        <color rgb="FFD4DEE6"/>
      </top>
      <bottom style="thin">
        <color rgb="FFD4DEE6"/>
      </bottom>
      <diagonal/>
    </border>
    <border>
      <left/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 style="thin">
        <color rgb="FFD4DEE6"/>
      </right>
      <top/>
      <bottom style="thin">
        <color rgb="FFD4DEE6"/>
      </bottom>
      <diagonal/>
    </border>
    <border>
      <left style="thin">
        <color rgb="FFD4DEE6"/>
      </left>
      <right/>
      <top/>
      <bottom style="thin">
        <color rgb="FFD4DEE6"/>
      </bottom>
      <diagonal/>
    </border>
    <border>
      <left/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 style="thin">
        <color rgb="FFD4DEE6"/>
      </right>
      <top style="thin">
        <color rgb="FFD4DEE6"/>
      </top>
      <bottom/>
      <diagonal/>
    </border>
    <border>
      <left style="thin">
        <color rgb="FFD4DEE6"/>
      </left>
      <right/>
      <top style="thin">
        <color rgb="FFD4DEE6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0" fontId="2" fillId="0" borderId="2" xfId="0" applyFont="1" applyFill="1" applyBorder="1">
      <alignment vertical="center"/>
    </xf>
    <xf numFmtId="177" fontId="2" fillId="0" borderId="3" xfId="0" applyNumberFormat="1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177" fontId="2" fillId="0" borderId="9" xfId="0" applyNumberFormat="1" applyFont="1" applyFill="1" applyBorder="1">
      <alignment vertical="center"/>
    </xf>
    <xf numFmtId="176" fontId="2" fillId="0" borderId="3" xfId="0" applyNumberFormat="1" applyFont="1" applyFill="1" applyBorder="1">
      <alignment vertical="center"/>
    </xf>
    <xf numFmtId="0" fontId="2" fillId="0" borderId="8" xfId="0" applyFont="1" applyFill="1" applyBorder="1">
      <alignment vertical="center"/>
    </xf>
    <xf numFmtId="177" fontId="2" fillId="0" borderId="8" xfId="0" applyNumberFormat="1" applyFont="1" applyFill="1" applyBorder="1">
      <alignment vertical="center"/>
    </xf>
    <xf numFmtId="176" fontId="2" fillId="0" borderId="9" xfId="0" applyNumberFormat="1" applyFont="1" applyFill="1" applyBorder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solid">
          <fgColor indexed="64"/>
          <bgColor rgb="FFF2F4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4DEE6"/>
        </left>
        <right style="thin">
          <color rgb="FFD4DEE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7" formatCode="0.0%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/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numFmt numFmtId="176" formatCode="0.0000"/>
      <fill>
        <patternFill patternType="none">
          <fgColor indexed="64"/>
          <bgColor indexed="65"/>
        </patternFill>
      </fill>
      <border diagonalUp="0" diagonalDown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icrosoft YaHei"/>
        <family val="2"/>
        <charset val="134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rgb="FFD4DEE6"/>
        </right>
        <top style="thin">
          <color rgb="FFD4DEE6"/>
        </top>
        <bottom style="thin">
          <color rgb="FFD4DEE6"/>
        </bottom>
        <vertical/>
        <horizontal/>
      </border>
    </dxf>
    <dxf>
      <border outline="0">
        <top style="thin">
          <color rgb="FFD4DEE6"/>
        </top>
      </border>
    </dxf>
    <dxf>
      <border outline="0">
        <bottom style="thin">
          <color rgb="FFD4DEE6"/>
        </bottom>
      </border>
    </dxf>
    <dxf>
      <border outline="0">
        <left style="thin">
          <color rgb="FFD4DEE6"/>
        </left>
        <right style="thin">
          <color rgb="FFD4DEE6"/>
        </right>
        <top style="thin">
          <color rgb="FFD4DEE6"/>
        </top>
        <bottom style="thin">
          <color rgb="FFD4DE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设定值与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有效原始数据!$B$2:$B$31</c:f>
              <c:numCache>
                <c:formatCode>0.0000</c:formatCode>
                <c:ptCount val="30"/>
                <c:pt idx="0">
                  <c:v>735</c:v>
                </c:pt>
                <c:pt idx="1">
                  <c:v>638</c:v>
                </c:pt>
                <c:pt idx="2">
                  <c:v>557</c:v>
                </c:pt>
                <c:pt idx="3">
                  <c:v>504</c:v>
                </c:pt>
                <c:pt idx="4">
                  <c:v>586</c:v>
                </c:pt>
                <c:pt idx="5">
                  <c:v>625</c:v>
                </c:pt>
                <c:pt idx="6">
                  <c:v>668</c:v>
                </c:pt>
                <c:pt idx="7">
                  <c:v>656</c:v>
                </c:pt>
                <c:pt idx="8">
                  <c:v>542</c:v>
                </c:pt>
                <c:pt idx="9">
                  <c:v>706</c:v>
                </c:pt>
                <c:pt idx="10">
                  <c:v>693</c:v>
                </c:pt>
                <c:pt idx="11">
                  <c:v>527</c:v>
                </c:pt>
                <c:pt idx="12">
                  <c:v>721</c:v>
                </c:pt>
                <c:pt idx="13">
                  <c:v>569</c:v>
                </c:pt>
                <c:pt idx="14">
                  <c:v>601</c:v>
                </c:pt>
                <c:pt idx="15">
                  <c:v>750</c:v>
                </c:pt>
                <c:pt idx="16">
                  <c:v>613</c:v>
                </c:pt>
                <c:pt idx="17">
                  <c:v>680</c:v>
                </c:pt>
                <c:pt idx="18">
                  <c:v>516</c:v>
                </c:pt>
                <c:pt idx="19">
                  <c:v>577</c:v>
                </c:pt>
                <c:pt idx="20">
                  <c:v>541</c:v>
                </c:pt>
                <c:pt idx="21">
                  <c:v>543</c:v>
                </c:pt>
                <c:pt idx="22">
                  <c:v>540</c:v>
                </c:pt>
                <c:pt idx="23">
                  <c:v>647</c:v>
                </c:pt>
                <c:pt idx="24">
                  <c:v>594</c:v>
                </c:pt>
                <c:pt idx="25">
                  <c:v>713</c:v>
                </c:pt>
                <c:pt idx="26">
                  <c:v>674</c:v>
                </c:pt>
                <c:pt idx="27">
                  <c:v>728</c:v>
                </c:pt>
                <c:pt idx="28">
                  <c:v>631</c:v>
                </c:pt>
                <c:pt idx="29">
                  <c:v>662</c:v>
                </c:pt>
              </c:numCache>
            </c:numRef>
          </c:xVal>
          <c:yVal>
            <c:numRef>
              <c:f>有效原始数据!$E$2:$E$31</c:f>
              <c:numCache>
                <c:formatCode>0.0000</c:formatCode>
                <c:ptCount val="30"/>
                <c:pt idx="0">
                  <c:v>35.928550000000001</c:v>
                </c:pt>
                <c:pt idx="1">
                  <c:v>32.108400000000003</c:v>
                </c:pt>
                <c:pt idx="2">
                  <c:v>34.556049999999999</c:v>
                </c:pt>
                <c:pt idx="3">
                  <c:v>37.242049999999999</c:v>
                </c:pt>
                <c:pt idx="4">
                  <c:v>45.486049999999999</c:v>
                </c:pt>
                <c:pt idx="5">
                  <c:v>36.020899999999997</c:v>
                </c:pt>
                <c:pt idx="6">
                  <c:v>33.236099999999993</c:v>
                </c:pt>
                <c:pt idx="7">
                  <c:v>32.960250000000002</c:v>
                </c:pt>
                <c:pt idx="8">
                  <c:v>30.131</c:v>
                </c:pt>
                <c:pt idx="9">
                  <c:v>34.549350000000004</c:v>
                </c:pt>
                <c:pt idx="10">
                  <c:v>34.068950000000001</c:v>
                </c:pt>
                <c:pt idx="11">
                  <c:v>30.237349999999999</c:v>
                </c:pt>
                <c:pt idx="12">
                  <c:v>35.272599999999997</c:v>
                </c:pt>
                <c:pt idx="13">
                  <c:v>87.106349999999992</c:v>
                </c:pt>
                <c:pt idx="14">
                  <c:v>36.48415</c:v>
                </c:pt>
                <c:pt idx="15">
                  <c:v>35.061999999999998</c:v>
                </c:pt>
                <c:pt idx="16">
                  <c:v>36.653700000000001</c:v>
                </c:pt>
                <c:pt idx="17">
                  <c:v>34.451900000000002</c:v>
                </c:pt>
                <c:pt idx="18">
                  <c:v>33.570999999999998</c:v>
                </c:pt>
                <c:pt idx="19">
                  <c:v>43.483350000000002</c:v>
                </c:pt>
                <c:pt idx="20">
                  <c:v>34.152749999999997</c:v>
                </c:pt>
                <c:pt idx="21">
                  <c:v>34.39385</c:v>
                </c:pt>
                <c:pt idx="22">
                  <c:v>35.427999999999997</c:v>
                </c:pt>
                <c:pt idx="23">
                  <c:v>33.282299999999999</c:v>
                </c:pt>
                <c:pt idx="24">
                  <c:v>36.400850000000005</c:v>
                </c:pt>
                <c:pt idx="25">
                  <c:v>35.399000000000001</c:v>
                </c:pt>
                <c:pt idx="26">
                  <c:v>34.132999999999996</c:v>
                </c:pt>
                <c:pt idx="27">
                  <c:v>36.427700000000002</c:v>
                </c:pt>
                <c:pt idx="28">
                  <c:v>33.537999999999997</c:v>
                </c:pt>
                <c:pt idx="29">
                  <c:v>33.516249999999999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D2-4BCA-912B-174C3869E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78992"/>
        <c:axId val="54947952"/>
      </c:scatterChart>
      <c:valAx>
        <c:axId val="2071978992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设定值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4947952"/>
        <c:crosses val="autoZero"/>
        <c:crossBetween val="midCat"/>
        <c:majorUnit val="25"/>
      </c:valAx>
      <c:valAx>
        <c:axId val="54947952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071978992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300">
                <a:latin typeface="Microsoft YaHei"/>
                <a:ea typeface="Microsoft YaHei"/>
                <a:cs typeface="Microsoft YaHei"/>
              </a:defRPr>
            </a:pPr>
            <a:r>
              <a:rPr lang="en-US"/>
              <a:t>Uc</a:t>
            </a:r>
            <a:r>
              <a:rPr lang="zh-CN"/>
              <a:t>反馈值与 </a:t>
            </a:r>
            <a:r>
              <a:rPr lang="en-US"/>
              <a:t>score</a:t>
            </a:r>
            <a:r>
              <a:rPr lang="zh-CN"/>
              <a:t>（每点对应一轮）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marker>
            <c:symbol val="circle"/>
            <c:size val="6"/>
            <c:spPr>
              <a:solidFill>
                <a:srgbClr val="2E74B5"/>
              </a:solidFill>
              <a:ln/>
            </c:spPr>
          </c:marker>
          <c:xVal>
            <c:numRef>
              <c:f>有效原始数据!$C$2:$C$31</c:f>
              <c:numCache>
                <c:formatCode>0.0000</c:formatCode>
                <c:ptCount val="30"/>
                <c:pt idx="0">
                  <c:v>739.31623931623926</c:v>
                </c:pt>
                <c:pt idx="1">
                  <c:v>642.85714285714289</c:v>
                </c:pt>
                <c:pt idx="2">
                  <c:v>561.050061050061</c:v>
                </c:pt>
                <c:pt idx="3">
                  <c:v>507.93650793650789</c:v>
                </c:pt>
                <c:pt idx="4">
                  <c:v>589.74358974358972</c:v>
                </c:pt>
                <c:pt idx="5">
                  <c:v>629.42612942612948</c:v>
                </c:pt>
                <c:pt idx="6">
                  <c:v>672.7716727716728</c:v>
                </c:pt>
                <c:pt idx="7">
                  <c:v>660.56166056166057</c:v>
                </c:pt>
                <c:pt idx="8">
                  <c:v>545.78754578754581</c:v>
                </c:pt>
                <c:pt idx="9">
                  <c:v>710.62271062271066</c:v>
                </c:pt>
                <c:pt idx="10">
                  <c:v>697.80219780219784</c:v>
                </c:pt>
                <c:pt idx="11">
                  <c:v>531.1355311355311</c:v>
                </c:pt>
                <c:pt idx="12">
                  <c:v>725.27472527472526</c:v>
                </c:pt>
                <c:pt idx="13">
                  <c:v>573.26007326007323</c:v>
                </c:pt>
                <c:pt idx="14">
                  <c:v>605.00610500610503</c:v>
                </c:pt>
                <c:pt idx="15">
                  <c:v>754.57875457875457</c:v>
                </c:pt>
                <c:pt idx="16">
                  <c:v>617.21611721611725</c:v>
                </c:pt>
                <c:pt idx="17">
                  <c:v>684.37118437118443</c:v>
                </c:pt>
                <c:pt idx="18">
                  <c:v>520.14652014652017</c:v>
                </c:pt>
                <c:pt idx="19">
                  <c:v>581.19658119658118</c:v>
                </c:pt>
                <c:pt idx="20">
                  <c:v>545.17704517704522</c:v>
                </c:pt>
                <c:pt idx="21">
                  <c:v>547.008547008547</c:v>
                </c:pt>
                <c:pt idx="22">
                  <c:v>543.95604395604391</c:v>
                </c:pt>
                <c:pt idx="23">
                  <c:v>651.40415140415143</c:v>
                </c:pt>
                <c:pt idx="24">
                  <c:v>597.68009768009767</c:v>
                </c:pt>
                <c:pt idx="25">
                  <c:v>717.33821733821731</c:v>
                </c:pt>
                <c:pt idx="26">
                  <c:v>678.87667887667885</c:v>
                </c:pt>
                <c:pt idx="27">
                  <c:v>732.60073260073261</c:v>
                </c:pt>
                <c:pt idx="28">
                  <c:v>635.53113553113553</c:v>
                </c:pt>
                <c:pt idx="29">
                  <c:v>666.66666666666663</c:v>
                </c:pt>
              </c:numCache>
            </c:numRef>
          </c:xVal>
          <c:yVal>
            <c:numRef>
              <c:f>有效原始数据!$E$2:$E$31</c:f>
              <c:numCache>
                <c:formatCode>0.0000</c:formatCode>
                <c:ptCount val="30"/>
                <c:pt idx="0">
                  <c:v>35.928550000000001</c:v>
                </c:pt>
                <c:pt idx="1">
                  <c:v>32.108400000000003</c:v>
                </c:pt>
                <c:pt idx="2">
                  <c:v>34.556049999999999</c:v>
                </c:pt>
                <c:pt idx="3">
                  <c:v>37.242049999999999</c:v>
                </c:pt>
                <c:pt idx="4">
                  <c:v>45.486049999999999</c:v>
                </c:pt>
                <c:pt idx="5">
                  <c:v>36.020899999999997</c:v>
                </c:pt>
                <c:pt idx="6">
                  <c:v>33.236099999999993</c:v>
                </c:pt>
                <c:pt idx="7">
                  <c:v>32.960250000000002</c:v>
                </c:pt>
                <c:pt idx="8">
                  <c:v>30.131</c:v>
                </c:pt>
                <c:pt idx="9">
                  <c:v>34.549350000000004</c:v>
                </c:pt>
                <c:pt idx="10">
                  <c:v>34.068950000000001</c:v>
                </c:pt>
                <c:pt idx="11">
                  <c:v>30.237349999999999</c:v>
                </c:pt>
                <c:pt idx="12">
                  <c:v>35.272599999999997</c:v>
                </c:pt>
                <c:pt idx="13">
                  <c:v>87.106349999999992</c:v>
                </c:pt>
                <c:pt idx="14">
                  <c:v>36.48415</c:v>
                </c:pt>
                <c:pt idx="15">
                  <c:v>35.061999999999998</c:v>
                </c:pt>
                <c:pt idx="16">
                  <c:v>36.653700000000001</c:v>
                </c:pt>
                <c:pt idx="17">
                  <c:v>34.451900000000002</c:v>
                </c:pt>
                <c:pt idx="18">
                  <c:v>33.570999999999998</c:v>
                </c:pt>
                <c:pt idx="19">
                  <c:v>43.483350000000002</c:v>
                </c:pt>
                <c:pt idx="20">
                  <c:v>34.152749999999997</c:v>
                </c:pt>
                <c:pt idx="21">
                  <c:v>34.39385</c:v>
                </c:pt>
                <c:pt idx="22">
                  <c:v>35.427999999999997</c:v>
                </c:pt>
                <c:pt idx="23">
                  <c:v>33.282299999999999</c:v>
                </c:pt>
                <c:pt idx="24">
                  <c:v>36.400850000000005</c:v>
                </c:pt>
                <c:pt idx="25">
                  <c:v>35.399000000000001</c:v>
                </c:pt>
                <c:pt idx="26">
                  <c:v>34.132999999999996</c:v>
                </c:pt>
                <c:pt idx="27">
                  <c:v>36.427700000000002</c:v>
                </c:pt>
                <c:pt idx="28">
                  <c:v>33.537999999999997</c:v>
                </c:pt>
                <c:pt idx="29">
                  <c:v>33.516249999999999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3D-4BFA-9187-B3944BB17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72512"/>
        <c:axId val="54939792"/>
      </c:scatterChart>
      <c:valAx>
        <c:axId val="53472512"/>
        <c:scaling>
          <c:orientation val="minMax"/>
          <c:max val="750"/>
          <c:min val="5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Uc</a:t>
                </a:r>
                <a:r>
                  <a:rPr lang="zh-CN" altLang="en-US"/>
                  <a:t>反馈值 </a:t>
                </a:r>
                <a:r>
                  <a:rPr lang="en-US" altLang="zh-CN"/>
                  <a:t>(V)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4939792"/>
        <c:crosses val="autoZero"/>
        <c:crossBetween val="midCat"/>
        <c:majorUnit val="25"/>
      </c:valAx>
      <c:valAx>
        <c:axId val="54939792"/>
        <c:scaling>
          <c:orientation val="minMax"/>
          <c:max val="50"/>
          <c:min val="20"/>
        </c:scaling>
        <c:delete val="0"/>
        <c:axPos val="l"/>
        <c:majorGridlines>
          <c:spPr>
            <a:ln>
              <a:solidFill>
                <a:srgbClr val="D5E0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score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3472512"/>
        <c:crosses val="autoZero"/>
        <c:crossBetween val="midCat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3175</xdr:rowOff>
    </xdr:from>
    <xdr:to>
      <xdr:col>10</xdr:col>
      <xdr:colOff>117475</xdr:colOff>
      <xdr:row>37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B175AAC-C765-8240-D960-F9EBB740D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15</xdr:row>
      <xdr:rowOff>3175</xdr:rowOff>
    </xdr:from>
    <xdr:to>
      <xdr:col>21</xdr:col>
      <xdr:colOff>168275</xdr:colOff>
      <xdr:row>37</xdr:row>
      <xdr:rowOff>63500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8BC9B3-0AB6-FAB0-9576-E9031E11E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16EF3-3DB8-495B-B95F-398E659C0C10}" name="Score排序表" displayName="Score排序表" ref="A1:O31" totalsRowShown="0" headerRowDxfId="0" dataDxfId="1" headerRowBorderDxfId="18" tableBorderDxfId="19" totalsRowBorderDxfId="17">
  <autoFilter ref="A1:O31" xr:uid="{84416EF3-3DB8-495B-B95F-398E659C0C10}"/>
  <tableColumns count="15">
    <tableColumn id="1" xr3:uid="{27583B6E-2B25-4ABA-A549-2A54C4EC3F67}" name="排名" dataDxfId="16"/>
    <tableColumn id="2" xr3:uid="{893D39F9-32EA-41D3-BA21-B2E93AFC52AC}" name="迭代" dataDxfId="15"/>
    <tableColumn id="3" xr3:uid="{09B367B1-DF93-4595-AF1E-B32A6EBBEBED}" name="score" dataDxfId="14"/>
    <tableColumn id="4" xr3:uid="{1E1B2AB6-A425-4233-8969-E41704383C05}" name="x1" dataDxfId="13"/>
    <tableColumn id="5" xr3:uid="{A0CE0991-AF86-481E-8CDE-FC60C19029A6}" name="x2" dataDxfId="12"/>
    <tableColumn id="6" xr3:uid="{55DEDFAA-ED55-4EFA-93EB-2A106A7AF8D0}" name="Uc设定(V)" dataDxfId="11"/>
    <tableColumn id="7" xr3:uid="{BE5597C6-4576-4191-B95A-FE51C6E85ECD}" name="Uc反馈(V)" dataDxfId="10"/>
    <tableColumn id="8" xr3:uid="{02D40E5D-C12B-4B6D-8C7A-2BB63A0330D4}" name="Uc反馈差(V)" dataDxfId="9"/>
    <tableColumn id="9" xr3:uid="{4E52A296-A74E-4C66-B454-78C2B33A8454}" name="Ua反馈(kV)" dataDxfId="8"/>
    <tableColumn id="10" xr3:uid="{81FE1529-C108-48BE-BBE4-8EEB34A8295C}" name="Ug反馈(V)" dataDxfId="7"/>
    <tableColumn id="11" xr3:uid="{6C2BA746-5F94-4135-A90A-4BED945EDCEF}" name="三拍相对差" dataDxfId="6"/>
    <tableColumn id="12" xr3:uid="{BE5EBAA2-43CC-441F-8FA5-C5451FDB4638}" name="接受拍次" dataDxfId="5"/>
    <tableColumn id="13" xr3:uid="{06A87207-564C-4400-B009-72EEE13B9857}" name="第1拍score" dataDxfId="4"/>
    <tableColumn id="14" xr3:uid="{EA60705D-442B-48CB-B243-DD34D77E6D02}" name="第2拍score" dataDxfId="3"/>
    <tableColumn id="15" xr3:uid="{B20B8657-F401-4780-8AAB-F41B57FEB56A}" name="第3拍sco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03A5C-E35F-4EA3-80AA-4AA557C38D6A}" name="有效原始数据表" displayName="有效原始数据表" ref="A1:J31" totalsRowShown="0" headerRowDxfId="20" dataDxfId="21" headerRowBorderDxfId="33" tableBorderDxfId="34" totalsRowBorderDxfId="32">
  <autoFilter ref="A1:J31" xr:uid="{52303A5C-E35F-4EA3-80AA-4AA557C38D6A}"/>
  <tableColumns count="10">
    <tableColumn id="1" xr3:uid="{FDD497C9-AB6C-43F6-9099-AF8049FCA9E9}" name="迭代" dataDxfId="31"/>
    <tableColumn id="2" xr3:uid="{8A0822DC-3D9E-47C7-91B5-CE3DC8F512C7}" name="Uc设定(V)" dataDxfId="30"/>
    <tableColumn id="3" xr3:uid="{7C4000DE-DDD0-4B56-AD22-8581366676E1}" name="Uc反馈(V)" dataDxfId="29"/>
    <tableColumn id="4" xr3:uid="{8B12C92D-0FE8-4E8F-A56C-1CA7B0C9D7B7}" name="Uc反馈差(V)" dataDxfId="28"/>
    <tableColumn id="5" xr3:uid="{8BDD9D2A-C669-46A5-A9A1-49B3E2487C88}" name="score" dataDxfId="27"/>
    <tableColumn id="6" xr3:uid="{68DA966B-00A5-43A9-855B-02EBE076AA52}" name="x1" dataDxfId="26"/>
    <tableColumn id="7" xr3:uid="{BD8C261D-92EF-4A25-86A3-3282A1993E4A}" name="x2" dataDxfId="25"/>
    <tableColumn id="8" xr3:uid="{65033D45-EA36-4AF0-8837-EDCD84913D9C}" name="Ua反馈(kV)" dataDxfId="24"/>
    <tableColumn id="9" xr3:uid="{4E2CFA7C-BC44-4969-B493-BF04E33F08B5}" name="Ug反馈(V)" dataDxfId="23"/>
    <tableColumn id="10" xr3:uid="{69C83979-DD2C-4E65-BA11-8854A317E7B6}" name="三拍相对差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796A-7B66-4EDD-A4A6-0F9A1078142A}">
  <dimension ref="A1:E1"/>
  <sheetViews>
    <sheetView tabSelected="1" workbookViewId="0"/>
  </sheetViews>
  <sheetFormatPr defaultRowHeight="13.9"/>
  <sheetData>
    <row r="1" spans="1:5" ht="15.75">
      <c r="A1" s="18" t="s">
        <v>30</v>
      </c>
      <c r="B1" s="17"/>
      <c r="C1" s="17"/>
      <c r="D1" s="17"/>
      <c r="E1" s="1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1D1D-DA58-4480-AAC1-3AD6F749E370}">
  <dimension ref="A1:F7"/>
  <sheetViews>
    <sheetView workbookViewId="0"/>
  </sheetViews>
  <sheetFormatPr defaultRowHeight="13.9"/>
  <cols>
    <col min="1" max="1" width="8.6640625" bestFit="1" customWidth="1"/>
    <col min="2" max="2" width="6.1328125" bestFit="1" customWidth="1"/>
    <col min="3" max="3" width="8.53125" bestFit="1" customWidth="1"/>
    <col min="4" max="4" width="10.1328125" bestFit="1" customWidth="1"/>
    <col min="5" max="6" width="8.53125" bestFit="1" customWidth="1"/>
  </cols>
  <sheetData>
    <row r="1" spans="1:6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 s="1" t="s">
        <v>24</v>
      </c>
      <c r="B2" s="3">
        <v>7</v>
      </c>
      <c r="C2" s="3">
        <v>33.593714285714285</v>
      </c>
      <c r="D2" s="3">
        <v>34.152749999999997</v>
      </c>
      <c r="E2" s="3">
        <v>30.131</v>
      </c>
      <c r="F2" s="3">
        <v>37.242049999999999</v>
      </c>
    </row>
    <row r="3" spans="1:6">
      <c r="A3" s="1" t="s">
        <v>25</v>
      </c>
      <c r="B3" s="3">
        <v>5</v>
      </c>
      <c r="C3" s="3">
        <v>49.406529999999997</v>
      </c>
      <c r="D3" s="3">
        <v>43.483350000000002</v>
      </c>
      <c r="E3" s="3">
        <v>34.556049999999999</v>
      </c>
      <c r="F3" s="3">
        <v>87.106349999999992</v>
      </c>
    </row>
    <row r="4" spans="1:6">
      <c r="A4" s="1" t="s">
        <v>26</v>
      </c>
      <c r="B4" s="3">
        <v>6</v>
      </c>
      <c r="C4" s="3">
        <v>34.681241666666665</v>
      </c>
      <c r="D4" s="3">
        <v>33.537999999999997</v>
      </c>
      <c r="E4" s="3">
        <v>32.108400000000003</v>
      </c>
      <c r="F4" s="3">
        <v>36.653700000000001</v>
      </c>
    </row>
    <row r="5" spans="1:6">
      <c r="A5" s="1" t="s">
        <v>27</v>
      </c>
      <c r="B5" s="3">
        <v>4</v>
      </c>
      <c r="C5" s="3">
        <v>33.461399999999998</v>
      </c>
      <c r="D5" s="3">
        <v>33.236099999999993</v>
      </c>
      <c r="E5" s="3">
        <v>32.960250000000002</v>
      </c>
      <c r="F5" s="3">
        <v>34.132999999999996</v>
      </c>
    </row>
    <row r="6" spans="1:6">
      <c r="A6" s="1" t="s">
        <v>28</v>
      </c>
      <c r="B6" s="3">
        <v>2</v>
      </c>
      <c r="C6" s="3">
        <v>34.260424999999998</v>
      </c>
      <c r="D6" s="3">
        <v>34.068950000000001</v>
      </c>
      <c r="E6" s="3">
        <v>34.068950000000001</v>
      </c>
      <c r="F6" s="3">
        <v>34.451900000000002</v>
      </c>
    </row>
    <row r="7" spans="1:6">
      <c r="A7" s="1" t="s">
        <v>29</v>
      </c>
      <c r="B7" s="3">
        <v>6</v>
      </c>
      <c r="C7" s="3">
        <v>35.439866666666667</v>
      </c>
      <c r="D7" s="3">
        <v>35.272599999999997</v>
      </c>
      <c r="E7" s="3">
        <v>34.549350000000004</v>
      </c>
      <c r="F7" s="3">
        <v>36.427700000000002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0E55-E77E-424A-BB48-1CEC386774BF}">
  <dimension ref="A1:O31"/>
  <sheetViews>
    <sheetView workbookViewId="0"/>
  </sheetViews>
  <sheetFormatPr defaultRowHeight="13.9"/>
  <cols>
    <col min="1" max="2" width="5.796875" customWidth="1"/>
    <col min="3" max="5" width="7.06640625" bestFit="1" customWidth="1"/>
    <col min="6" max="7" width="10.19921875" customWidth="1"/>
    <col min="8" max="8" width="11.796875" customWidth="1"/>
    <col min="9" max="9" width="11.265625" customWidth="1"/>
    <col min="10" max="10" width="10.46484375" customWidth="1"/>
    <col min="11" max="11" width="10.59765625" customWidth="1"/>
    <col min="12" max="12" width="9" customWidth="1"/>
    <col min="13" max="15" width="11.06640625" customWidth="1"/>
  </cols>
  <sheetData>
    <row r="1" spans="1:15">
      <c r="A1" s="7" t="s">
        <v>10</v>
      </c>
      <c r="B1" s="8" t="s">
        <v>0</v>
      </c>
      <c r="C1" s="8" t="s">
        <v>4</v>
      </c>
      <c r="D1" s="8" t="s">
        <v>5</v>
      </c>
      <c r="E1" s="8" t="s">
        <v>6</v>
      </c>
      <c r="F1" s="8" t="s">
        <v>1</v>
      </c>
      <c r="G1" s="8" t="s">
        <v>2</v>
      </c>
      <c r="H1" s="8" t="s">
        <v>3</v>
      </c>
      <c r="I1" s="8" t="s">
        <v>7</v>
      </c>
      <c r="J1" s="8" t="s">
        <v>8</v>
      </c>
      <c r="K1" s="8" t="s">
        <v>9</v>
      </c>
      <c r="L1" s="8" t="s">
        <v>11</v>
      </c>
      <c r="M1" s="8" t="s">
        <v>12</v>
      </c>
      <c r="N1" s="8" t="s">
        <v>13</v>
      </c>
      <c r="O1" s="9" t="s">
        <v>14</v>
      </c>
    </row>
    <row r="2" spans="1:15">
      <c r="A2" s="5">
        <v>1</v>
      </c>
      <c r="B2" s="1">
        <v>9</v>
      </c>
      <c r="C2" s="3">
        <v>30.131</v>
      </c>
      <c r="D2" s="3">
        <v>15.8436</v>
      </c>
      <c r="E2" s="3">
        <v>25.6233</v>
      </c>
      <c r="F2" s="3">
        <v>542</v>
      </c>
      <c r="G2" s="3">
        <v>545.78754578754581</v>
      </c>
      <c r="H2" s="3">
        <v>3.7875457875457998</v>
      </c>
      <c r="I2" s="3">
        <v>99.721217669947364</v>
      </c>
      <c r="J2" s="3">
        <v>64.694438086518659</v>
      </c>
      <c r="K2" s="4">
        <v>1.0636736110184413E-2</v>
      </c>
      <c r="L2" s="1" t="s">
        <v>15</v>
      </c>
      <c r="M2" s="3">
        <v>29.971599999999999</v>
      </c>
      <c r="N2" s="3">
        <v>30.290400000000002</v>
      </c>
      <c r="O2" s="13">
        <v>34.4268</v>
      </c>
    </row>
    <row r="3" spans="1:15">
      <c r="A3" s="5">
        <v>2</v>
      </c>
      <c r="B3" s="1">
        <v>12</v>
      </c>
      <c r="C3" s="3">
        <v>30.237349999999999</v>
      </c>
      <c r="D3" s="3">
        <v>17.786250000000003</v>
      </c>
      <c r="E3" s="3">
        <v>24.4529</v>
      </c>
      <c r="F3" s="3">
        <v>527</v>
      </c>
      <c r="G3" s="3">
        <v>531.1355311355311</v>
      </c>
      <c r="H3" s="3">
        <v>4.1355311355311004</v>
      </c>
      <c r="I3" s="3">
        <v>99.721217669947364</v>
      </c>
      <c r="J3" s="3">
        <v>62.642099641412983</v>
      </c>
      <c r="K3" s="4">
        <v>7.6988453391940463E-3</v>
      </c>
      <c r="L3" s="1" t="s">
        <v>15</v>
      </c>
      <c r="M3" s="3">
        <v>30.121400000000001</v>
      </c>
      <c r="N3" s="3">
        <v>30.353300000000001</v>
      </c>
      <c r="O3" s="13">
        <v>29.065999999999999</v>
      </c>
    </row>
    <row r="4" spans="1:15">
      <c r="A4" s="5">
        <v>3</v>
      </c>
      <c r="B4" s="1">
        <v>2</v>
      </c>
      <c r="C4" s="3">
        <v>32.108400000000003</v>
      </c>
      <c r="D4" s="3">
        <v>17.01435</v>
      </c>
      <c r="E4" s="3">
        <v>27.226700000000001</v>
      </c>
      <c r="F4" s="3">
        <v>638</v>
      </c>
      <c r="G4" s="3">
        <v>642.85714285714289</v>
      </c>
      <c r="H4" s="3">
        <v>4.8571428571429003</v>
      </c>
      <c r="I4" s="3">
        <v>99.721217669947364</v>
      </c>
      <c r="J4" s="3">
        <v>78.160524910353246</v>
      </c>
      <c r="K4" s="4">
        <v>5.3148801029250965E-3</v>
      </c>
      <c r="L4" s="1" t="s">
        <v>16</v>
      </c>
      <c r="M4" s="3">
        <v>32.9559</v>
      </c>
      <c r="N4" s="3">
        <v>32.1935</v>
      </c>
      <c r="O4" s="13">
        <v>32.023299999999999</v>
      </c>
    </row>
    <row r="5" spans="1:15">
      <c r="A5" s="5">
        <v>4</v>
      </c>
      <c r="B5" s="1">
        <v>8</v>
      </c>
      <c r="C5" s="3">
        <v>32.960250000000002</v>
      </c>
      <c r="D5" s="3">
        <v>16.440550000000002</v>
      </c>
      <c r="E5" s="3">
        <v>28.566949999999999</v>
      </c>
      <c r="F5" s="3">
        <v>656</v>
      </c>
      <c r="G5" s="3">
        <v>660.56166056166057</v>
      </c>
      <c r="H5" s="3">
        <v>4.5616605616605996</v>
      </c>
      <c r="I5" s="3">
        <v>99.721217669947364</v>
      </c>
      <c r="J5" s="3">
        <v>80.97581445029374</v>
      </c>
      <c r="K5" s="4">
        <v>1.7295053614658235E-4</v>
      </c>
      <c r="L5" s="1" t="s">
        <v>15</v>
      </c>
      <c r="M5" s="3">
        <v>32.9574</v>
      </c>
      <c r="N5" s="3">
        <v>32.963099999999997</v>
      </c>
      <c r="O5" s="13">
        <v>32.867199999999997</v>
      </c>
    </row>
    <row r="6" spans="1:15">
      <c r="A6" s="5">
        <v>5</v>
      </c>
      <c r="B6" s="1">
        <v>7</v>
      </c>
      <c r="C6" s="3">
        <v>33.236099999999993</v>
      </c>
      <c r="D6" s="3">
        <v>15.89385</v>
      </c>
      <c r="E6" s="3">
        <v>29.189399999999999</v>
      </c>
      <c r="F6" s="3">
        <v>668</v>
      </c>
      <c r="G6" s="3">
        <v>672.7716727716728</v>
      </c>
      <c r="H6" s="3">
        <v>4.7716727716728</v>
      </c>
      <c r="I6" s="3">
        <v>99.718242160677505</v>
      </c>
      <c r="J6" s="3">
        <v>82.856488899061574</v>
      </c>
      <c r="K6" s="4">
        <v>1.8370395355000349E-3</v>
      </c>
      <c r="L6" s="1" t="s">
        <v>15</v>
      </c>
      <c r="M6" s="3">
        <v>33.205599999999997</v>
      </c>
      <c r="N6" s="3">
        <v>33.266599999999997</v>
      </c>
      <c r="O6" s="13">
        <v>32.633000000000003</v>
      </c>
    </row>
    <row r="7" spans="1:15">
      <c r="A7" s="5">
        <v>6</v>
      </c>
      <c r="B7" s="1">
        <v>24</v>
      </c>
      <c r="C7" s="3">
        <v>33.282299999999999</v>
      </c>
      <c r="D7" s="3">
        <v>16.114699999999999</v>
      </c>
      <c r="E7" s="3">
        <v>29.116199999999999</v>
      </c>
      <c r="F7" s="3">
        <v>647</v>
      </c>
      <c r="G7" s="3">
        <v>651.40415140415143</v>
      </c>
      <c r="H7" s="3">
        <v>4.4041514041514001</v>
      </c>
      <c r="I7" s="3">
        <v>99.718242160677505</v>
      </c>
      <c r="J7" s="3">
        <v>79.995422293430991</v>
      </c>
      <c r="K7" s="4">
        <v>6.5292096219931178E-3</v>
      </c>
      <c r="L7" s="1" t="s">
        <v>17</v>
      </c>
      <c r="M7" s="3">
        <v>33.390599999999999</v>
      </c>
      <c r="N7" s="3">
        <v>32.749299999999998</v>
      </c>
      <c r="O7" s="13">
        <v>33.173999999999999</v>
      </c>
    </row>
    <row r="8" spans="1:15">
      <c r="A8" s="5">
        <v>7</v>
      </c>
      <c r="B8" s="1">
        <v>30</v>
      </c>
      <c r="C8" s="3">
        <v>33.516249999999999</v>
      </c>
      <c r="D8" s="3">
        <v>15.934850000000001</v>
      </c>
      <c r="E8" s="3">
        <v>29.484950000000001</v>
      </c>
      <c r="F8" s="3">
        <v>662</v>
      </c>
      <c r="G8" s="3">
        <v>666.66666666666663</v>
      </c>
      <c r="H8" s="3">
        <v>4.6666666666666003</v>
      </c>
      <c r="I8" s="3">
        <v>99.724193179217195</v>
      </c>
      <c r="J8" s="3">
        <v>82.627603570611129</v>
      </c>
      <c r="K8" s="4">
        <v>1.9416159546906089E-2</v>
      </c>
      <c r="L8" s="1" t="s">
        <v>15</v>
      </c>
      <c r="M8" s="3">
        <v>33.194000000000003</v>
      </c>
      <c r="N8" s="3">
        <v>33.838500000000003</v>
      </c>
      <c r="O8" s="13">
        <v>38.512599999999999</v>
      </c>
    </row>
    <row r="9" spans="1:15">
      <c r="A9" s="5">
        <v>8</v>
      </c>
      <c r="B9" s="1">
        <v>29</v>
      </c>
      <c r="C9" s="3">
        <v>33.537999999999997</v>
      </c>
      <c r="D9" s="3">
        <v>16.866700000000002</v>
      </c>
      <c r="E9" s="3">
        <v>28.988050000000001</v>
      </c>
      <c r="F9" s="3">
        <v>631</v>
      </c>
      <c r="G9" s="3">
        <v>635.53113553113553</v>
      </c>
      <c r="H9" s="3">
        <v>4.5311355311354999</v>
      </c>
      <c r="I9" s="3">
        <v>99.721217669947364</v>
      </c>
      <c r="J9" s="3">
        <v>78.149080643930731</v>
      </c>
      <c r="K9" s="4">
        <v>3.6636131496567505E-2</v>
      </c>
      <c r="L9" s="1" t="s">
        <v>16</v>
      </c>
      <c r="M9" s="3">
        <v>37.702300000000001</v>
      </c>
      <c r="N9" s="3">
        <v>32.934699999999999</v>
      </c>
      <c r="O9" s="13">
        <v>34.141300000000001</v>
      </c>
    </row>
    <row r="10" spans="1:15">
      <c r="A10" s="5">
        <v>9</v>
      </c>
      <c r="B10" s="1">
        <v>19</v>
      </c>
      <c r="C10" s="3">
        <v>33.570999999999998</v>
      </c>
      <c r="D10" s="3">
        <v>18.1586</v>
      </c>
      <c r="E10" s="3">
        <v>28.225100000000001</v>
      </c>
      <c r="F10" s="3">
        <v>516</v>
      </c>
      <c r="G10" s="3">
        <v>520.14652014652017</v>
      </c>
      <c r="H10" s="3">
        <v>4.1465201465202002</v>
      </c>
      <c r="I10" s="3">
        <v>99.721217669947364</v>
      </c>
      <c r="J10" s="3">
        <v>61.528191042954148</v>
      </c>
      <c r="K10" s="4">
        <v>1.5634662840056955E-2</v>
      </c>
      <c r="L10" s="1" t="s">
        <v>16</v>
      </c>
      <c r="M10" s="3">
        <v>31.321899999999999</v>
      </c>
      <c r="N10" s="3">
        <v>33.831400000000002</v>
      </c>
      <c r="O10" s="13">
        <v>33.310600000000001</v>
      </c>
    </row>
    <row r="11" spans="1:15">
      <c r="A11" s="5">
        <v>10</v>
      </c>
      <c r="B11" s="1">
        <v>11</v>
      </c>
      <c r="C11" s="3">
        <v>34.068950000000001</v>
      </c>
      <c r="D11" s="3">
        <v>15.0473</v>
      </c>
      <c r="E11" s="3">
        <v>30.565800000000003</v>
      </c>
      <c r="F11" s="3">
        <v>693</v>
      </c>
      <c r="G11" s="3">
        <v>697.80219780219784</v>
      </c>
      <c r="H11" s="3">
        <v>4.8021978021978002</v>
      </c>
      <c r="I11" s="3">
        <v>99.721217669947364</v>
      </c>
      <c r="J11" s="3">
        <v>86.072327763790341</v>
      </c>
      <c r="K11" s="4">
        <v>4.0912486690941339E-3</v>
      </c>
      <c r="L11" s="1" t="s">
        <v>16</v>
      </c>
      <c r="M11" s="3">
        <v>34.692100000000003</v>
      </c>
      <c r="N11" s="3">
        <v>34.138500000000001</v>
      </c>
      <c r="O11" s="13">
        <v>33.999400000000001</v>
      </c>
    </row>
    <row r="12" spans="1:15">
      <c r="A12" s="5">
        <v>11</v>
      </c>
      <c r="B12" s="1">
        <v>27</v>
      </c>
      <c r="C12" s="3">
        <v>34.132999999999996</v>
      </c>
      <c r="D12" s="3">
        <v>15.504300000000001</v>
      </c>
      <c r="E12" s="3">
        <v>30.40635</v>
      </c>
      <c r="F12" s="3">
        <v>674</v>
      </c>
      <c r="G12" s="3">
        <v>678.87667887667885</v>
      </c>
      <c r="H12" s="3">
        <v>4.8766788766789002</v>
      </c>
      <c r="I12" s="3">
        <v>99.721217669947364</v>
      </c>
      <c r="J12" s="3">
        <v>84.195468070496688</v>
      </c>
      <c r="K12" s="4">
        <v>2.8341161870282633E-3</v>
      </c>
      <c r="L12" s="1" t="s">
        <v>17</v>
      </c>
      <c r="M12" s="3">
        <v>34.084699999999998</v>
      </c>
      <c r="N12" s="3">
        <v>34.408999999999999</v>
      </c>
      <c r="O12" s="13">
        <v>34.1813</v>
      </c>
    </row>
    <row r="13" spans="1:15">
      <c r="A13" s="5">
        <v>12</v>
      </c>
      <c r="B13" s="1">
        <v>21</v>
      </c>
      <c r="C13" s="3">
        <v>34.152749999999997</v>
      </c>
      <c r="D13" s="3">
        <v>15.915749999999999</v>
      </c>
      <c r="E13" s="3">
        <v>30.214599999999997</v>
      </c>
      <c r="F13" s="3">
        <v>541</v>
      </c>
      <c r="G13" s="3">
        <v>545.17704517704522</v>
      </c>
      <c r="H13" s="3">
        <v>4.1770451770452004</v>
      </c>
      <c r="I13" s="3">
        <v>99.724193179217195</v>
      </c>
      <c r="J13" s="3">
        <v>64.988174258030057</v>
      </c>
      <c r="K13" s="4">
        <v>2.241651911814347E-2</v>
      </c>
      <c r="L13" s="1" t="s">
        <v>16</v>
      </c>
      <c r="M13" s="3">
        <v>29.541399999999999</v>
      </c>
      <c r="N13" s="3">
        <v>33.7742</v>
      </c>
      <c r="O13" s="13">
        <v>34.531300000000002</v>
      </c>
    </row>
    <row r="14" spans="1:15">
      <c r="A14" s="5">
        <v>13</v>
      </c>
      <c r="B14" s="1">
        <v>22</v>
      </c>
      <c r="C14" s="3">
        <v>34.39385</v>
      </c>
      <c r="D14" s="3">
        <v>15.570650000000001</v>
      </c>
      <c r="E14" s="3">
        <v>30.652799999999999</v>
      </c>
      <c r="F14" s="3">
        <v>543</v>
      </c>
      <c r="G14" s="3">
        <v>547.008547008547</v>
      </c>
      <c r="H14" s="3">
        <v>4.0085470085469996</v>
      </c>
      <c r="I14" s="3">
        <v>99.721217669947364</v>
      </c>
      <c r="J14" s="3">
        <v>65.239948119325547</v>
      </c>
      <c r="K14" s="4">
        <v>4.6546430399028761E-2</v>
      </c>
      <c r="L14" s="1" t="s">
        <v>16</v>
      </c>
      <c r="M14" s="3">
        <v>30.461300000000001</v>
      </c>
      <c r="N14" s="3">
        <v>35.176099999999998</v>
      </c>
      <c r="O14" s="13">
        <v>33.611600000000003</v>
      </c>
    </row>
    <row r="15" spans="1:15">
      <c r="A15" s="5">
        <v>14</v>
      </c>
      <c r="B15" s="1">
        <v>18</v>
      </c>
      <c r="C15" s="3">
        <v>34.451900000000002</v>
      </c>
      <c r="D15" s="3">
        <v>15.840999999999999</v>
      </c>
      <c r="E15" s="3">
        <v>30.593800000000002</v>
      </c>
      <c r="F15" s="3">
        <v>680</v>
      </c>
      <c r="G15" s="3">
        <v>684.37118437118443</v>
      </c>
      <c r="H15" s="3">
        <v>4.3711843711844001</v>
      </c>
      <c r="I15" s="3">
        <v>99.721217669947364</v>
      </c>
      <c r="J15" s="3">
        <v>84.794384679942013</v>
      </c>
      <c r="K15" s="4">
        <v>6.669112978851025E-3</v>
      </c>
      <c r="L15" s="1" t="s">
        <v>15</v>
      </c>
      <c r="M15" s="3">
        <v>34.337400000000002</v>
      </c>
      <c r="N15" s="3">
        <v>34.566400000000002</v>
      </c>
      <c r="O15" s="13">
        <v>33.973399999999998</v>
      </c>
    </row>
    <row r="16" spans="1:15">
      <c r="A16" s="5">
        <v>15</v>
      </c>
      <c r="B16" s="1">
        <v>10</v>
      </c>
      <c r="C16" s="3">
        <v>34.549350000000004</v>
      </c>
      <c r="D16" s="3">
        <v>15.14485</v>
      </c>
      <c r="E16" s="3">
        <v>31.052800000000001</v>
      </c>
      <c r="F16" s="3">
        <v>706</v>
      </c>
      <c r="G16" s="3">
        <v>710.62271062271066</v>
      </c>
      <c r="H16" s="3">
        <v>4.6227106227107004</v>
      </c>
      <c r="I16" s="3">
        <v>99.718242160677505</v>
      </c>
      <c r="J16" s="3">
        <v>87.953002212558175</v>
      </c>
      <c r="K16" s="4">
        <v>3.9063859404907565E-3</v>
      </c>
      <c r="L16" s="1" t="s">
        <v>17</v>
      </c>
      <c r="M16" s="3">
        <v>34.616700000000002</v>
      </c>
      <c r="N16" s="3">
        <v>35.135100000000001</v>
      </c>
      <c r="O16" s="13">
        <v>34.481999999999999</v>
      </c>
    </row>
    <row r="17" spans="1:15">
      <c r="A17" s="5">
        <v>16</v>
      </c>
      <c r="B17" s="1">
        <v>3</v>
      </c>
      <c r="C17" s="3">
        <v>34.556049999999999</v>
      </c>
      <c r="D17" s="3">
        <v>14.731450000000001</v>
      </c>
      <c r="E17" s="3">
        <v>31.25385</v>
      </c>
      <c r="F17" s="3">
        <v>557</v>
      </c>
      <c r="G17" s="3">
        <v>561.050061050061</v>
      </c>
      <c r="H17" s="3">
        <v>4.0500610500610001</v>
      </c>
      <c r="I17" s="3">
        <v>99.718242160677505</v>
      </c>
      <c r="J17" s="3">
        <v>66.765850308995198</v>
      </c>
      <c r="K17" s="4">
        <v>9.5809114514425423E-3</v>
      </c>
      <c r="L17" s="1" t="s">
        <v>16</v>
      </c>
      <c r="M17" s="3">
        <v>35.653700000000001</v>
      </c>
      <c r="N17" s="3">
        <v>34.391300000000001</v>
      </c>
      <c r="O17" s="13">
        <v>34.720799999999997</v>
      </c>
    </row>
    <row r="18" spans="1:15">
      <c r="A18" s="5">
        <v>17</v>
      </c>
      <c r="B18" s="1">
        <v>16</v>
      </c>
      <c r="C18" s="3">
        <v>35.061999999999998</v>
      </c>
      <c r="D18" s="3">
        <v>15.565149999999999</v>
      </c>
      <c r="E18" s="3">
        <v>31.414449999999999</v>
      </c>
      <c r="F18" s="3">
        <v>750</v>
      </c>
      <c r="G18" s="3">
        <v>754.57875457875457</v>
      </c>
      <c r="H18" s="3">
        <v>4.5787545787545998</v>
      </c>
      <c r="I18" s="3">
        <v>99.721217669947364</v>
      </c>
      <c r="J18" s="3">
        <v>94.678416113527121</v>
      </c>
      <c r="K18" s="4">
        <v>5.7090228875756287E-3</v>
      </c>
      <c r="L18" s="1" t="s">
        <v>17</v>
      </c>
      <c r="M18" s="3">
        <v>34.962200000000003</v>
      </c>
      <c r="N18" s="3">
        <v>35.6</v>
      </c>
      <c r="O18" s="13">
        <v>35.161799999999999</v>
      </c>
    </row>
    <row r="19" spans="1:15">
      <c r="A19" s="5">
        <v>18</v>
      </c>
      <c r="B19" s="1">
        <v>13</v>
      </c>
      <c r="C19" s="3">
        <v>35.272599999999997</v>
      </c>
      <c r="D19" s="3">
        <v>15.7127</v>
      </c>
      <c r="E19" s="3">
        <v>31.579499999999999</v>
      </c>
      <c r="F19" s="3">
        <v>721</v>
      </c>
      <c r="G19" s="3">
        <v>725.27472527472526</v>
      </c>
      <c r="H19" s="3">
        <v>4.2747252747253004</v>
      </c>
      <c r="I19" s="3">
        <v>99.721217669947364</v>
      </c>
      <c r="J19" s="3">
        <v>90.249485008011007</v>
      </c>
      <c r="K19" s="4">
        <v>1.1062856883506519E-3</v>
      </c>
      <c r="L19" s="1" t="s">
        <v>16</v>
      </c>
      <c r="M19" s="3">
        <v>35.363799999999998</v>
      </c>
      <c r="N19" s="3">
        <v>35.253100000000003</v>
      </c>
      <c r="O19" s="13">
        <v>35.292099999999998</v>
      </c>
    </row>
    <row r="20" spans="1:15">
      <c r="A20" s="5">
        <v>19</v>
      </c>
      <c r="B20" s="1">
        <v>26</v>
      </c>
      <c r="C20" s="3">
        <v>35.399000000000001</v>
      </c>
      <c r="D20" s="3">
        <v>14.931950000000001</v>
      </c>
      <c r="E20" s="3">
        <v>32.095500000000001</v>
      </c>
      <c r="F20" s="3">
        <v>713</v>
      </c>
      <c r="G20" s="3">
        <v>717.33821733821731</v>
      </c>
      <c r="H20" s="3">
        <v>4.3382173382172997</v>
      </c>
      <c r="I20" s="3">
        <v>99.721217669947364</v>
      </c>
      <c r="J20" s="3">
        <v>89.639124132143124</v>
      </c>
      <c r="K20" s="4">
        <v>1.4700477765527268E-3</v>
      </c>
      <c r="L20" s="1" t="s">
        <v>17</v>
      </c>
      <c r="M20" s="3">
        <v>35.424999999999997</v>
      </c>
      <c r="N20" s="3">
        <v>35.705399999999997</v>
      </c>
      <c r="O20" s="13">
        <v>35.372999999999998</v>
      </c>
    </row>
    <row r="21" spans="1:15">
      <c r="A21" s="5">
        <v>20</v>
      </c>
      <c r="B21" s="1">
        <v>23</v>
      </c>
      <c r="C21" s="3">
        <v>35.427999999999997</v>
      </c>
      <c r="D21" s="3">
        <v>17.938400000000001</v>
      </c>
      <c r="E21" s="3">
        <v>30.550649999999997</v>
      </c>
      <c r="F21" s="3">
        <v>540</v>
      </c>
      <c r="G21" s="3">
        <v>543.95604395604391</v>
      </c>
      <c r="H21" s="3">
        <v>3.9560439560438998</v>
      </c>
      <c r="I21" s="3">
        <v>99.721217669947364</v>
      </c>
      <c r="J21" s="3">
        <v>64.793621728847185</v>
      </c>
      <c r="K21" s="4">
        <v>6.3811704647819174E-4</v>
      </c>
      <c r="L21" s="1" t="s">
        <v>16</v>
      </c>
      <c r="M21" s="3">
        <v>30.821999999999999</v>
      </c>
      <c r="N21" s="3">
        <v>35.439300000000003</v>
      </c>
      <c r="O21" s="13">
        <v>35.416699999999999</v>
      </c>
    </row>
    <row r="22" spans="1:15">
      <c r="A22" s="5">
        <v>21</v>
      </c>
      <c r="B22" s="1">
        <v>1</v>
      </c>
      <c r="C22" s="3">
        <v>35.928550000000001</v>
      </c>
      <c r="D22" s="3">
        <v>16.428850000000001</v>
      </c>
      <c r="E22" s="3">
        <v>31.952300000000001</v>
      </c>
      <c r="F22" s="3">
        <v>735</v>
      </c>
      <c r="G22" s="3">
        <v>739.31623931623926</v>
      </c>
      <c r="H22" s="3">
        <v>4.3162393162393</v>
      </c>
      <c r="I22" s="3">
        <v>99.718242160677505</v>
      </c>
      <c r="J22" s="3">
        <v>91.565575646601033</v>
      </c>
      <c r="K22" s="4">
        <v>9.5840837649480582E-3</v>
      </c>
      <c r="L22" s="1" t="s">
        <v>17</v>
      </c>
      <c r="M22" s="3">
        <v>35.757199999999997</v>
      </c>
      <c r="N22" s="3">
        <v>35.378799999999998</v>
      </c>
      <c r="O22" s="13">
        <v>36.099899999999998</v>
      </c>
    </row>
    <row r="23" spans="1:15">
      <c r="A23" s="5">
        <v>22</v>
      </c>
      <c r="B23" s="1">
        <v>6</v>
      </c>
      <c r="C23" s="3">
        <v>36.020899999999997</v>
      </c>
      <c r="D23" s="3">
        <v>17.377299999999998</v>
      </c>
      <c r="E23" s="3">
        <v>31.544</v>
      </c>
      <c r="F23" s="3">
        <v>625</v>
      </c>
      <c r="G23" s="3">
        <v>629.42612942612948</v>
      </c>
      <c r="H23" s="3">
        <v>4.4261294261295001</v>
      </c>
      <c r="I23" s="3">
        <v>99.718242160677505</v>
      </c>
      <c r="J23" s="3">
        <v>76.50492103456169</v>
      </c>
      <c r="K23" s="4">
        <v>9.5958313923161162E-3</v>
      </c>
      <c r="L23" s="1" t="s">
        <v>15</v>
      </c>
      <c r="M23" s="3">
        <v>35.8489</v>
      </c>
      <c r="N23" s="3">
        <v>36.192900000000002</v>
      </c>
      <c r="O23" s="13">
        <v>32.304200000000002</v>
      </c>
    </row>
    <row r="24" spans="1:15">
      <c r="A24" s="5">
        <v>23</v>
      </c>
      <c r="B24" s="1">
        <v>25</v>
      </c>
      <c r="C24" s="3">
        <v>36.400850000000005</v>
      </c>
      <c r="D24" s="3">
        <v>14.4651</v>
      </c>
      <c r="E24" s="3">
        <v>33.402950000000004</v>
      </c>
      <c r="F24" s="3">
        <v>594</v>
      </c>
      <c r="G24" s="3">
        <v>597.68009768009767</v>
      </c>
      <c r="H24" s="3">
        <v>3.6800976800976999</v>
      </c>
      <c r="I24" s="3">
        <v>99.721217669947364</v>
      </c>
      <c r="J24" s="3">
        <v>72.484168764782183</v>
      </c>
      <c r="K24" s="4">
        <v>1.7371714227126338E-2</v>
      </c>
      <c r="L24" s="1" t="s">
        <v>17</v>
      </c>
      <c r="M24" s="3">
        <v>36.087400000000002</v>
      </c>
      <c r="N24" s="3">
        <v>37.517099999999999</v>
      </c>
      <c r="O24" s="13">
        <v>36.714300000000001</v>
      </c>
    </row>
    <row r="25" spans="1:15">
      <c r="A25" s="5">
        <v>24</v>
      </c>
      <c r="B25" s="1">
        <v>28</v>
      </c>
      <c r="C25" s="3">
        <v>36.427700000000002</v>
      </c>
      <c r="D25" s="3">
        <v>15.20115</v>
      </c>
      <c r="E25" s="3">
        <v>33.103900000000003</v>
      </c>
      <c r="F25" s="3">
        <v>728</v>
      </c>
      <c r="G25" s="3">
        <v>732.60073260073261</v>
      </c>
      <c r="H25" s="3">
        <v>4.6007326007326004</v>
      </c>
      <c r="I25" s="3">
        <v>99.721217669947364</v>
      </c>
      <c r="J25" s="3">
        <v>92.038605325398635</v>
      </c>
      <c r="K25" s="4">
        <v>7.1021631569088547E-3</v>
      </c>
      <c r="L25" s="1" t="s">
        <v>15</v>
      </c>
      <c r="M25" s="3">
        <v>36.556600000000003</v>
      </c>
      <c r="N25" s="3">
        <v>36.2988</v>
      </c>
      <c r="O25" s="13">
        <v>35.190899999999999</v>
      </c>
    </row>
    <row r="26" spans="1:15">
      <c r="A26" s="5">
        <v>25</v>
      </c>
      <c r="B26" s="1">
        <v>15</v>
      </c>
      <c r="C26" s="3">
        <v>36.48415</v>
      </c>
      <c r="D26" s="3">
        <v>14.443849999999999</v>
      </c>
      <c r="E26" s="3">
        <v>33.499450000000003</v>
      </c>
      <c r="F26" s="3">
        <v>601</v>
      </c>
      <c r="G26" s="3">
        <v>605.00610500610503</v>
      </c>
      <c r="H26" s="3">
        <v>4.0061050061049999</v>
      </c>
      <c r="I26" s="3">
        <v>99.721217669947364</v>
      </c>
      <c r="J26" s="3">
        <v>73.258564126039516</v>
      </c>
      <c r="K26" s="4">
        <v>1.4441260428572205E-2</v>
      </c>
      <c r="L26" s="1" t="s">
        <v>17</v>
      </c>
      <c r="M26" s="3">
        <v>36.745699999999999</v>
      </c>
      <c r="N26" s="3">
        <v>43.683100000000003</v>
      </c>
      <c r="O26" s="13">
        <v>36.2226</v>
      </c>
    </row>
    <row r="27" spans="1:15">
      <c r="A27" s="5">
        <v>26</v>
      </c>
      <c r="B27" s="1">
        <v>17</v>
      </c>
      <c r="C27" s="3">
        <v>36.653700000000001</v>
      </c>
      <c r="D27" s="3">
        <v>16.58155</v>
      </c>
      <c r="E27" s="3">
        <v>32.662500000000001</v>
      </c>
      <c r="F27" s="3">
        <v>613</v>
      </c>
      <c r="G27" s="3">
        <v>617.21611721611725</v>
      </c>
      <c r="H27" s="3">
        <v>4.2161172161172997</v>
      </c>
      <c r="I27" s="3">
        <v>99.721217669947364</v>
      </c>
      <c r="J27" s="3">
        <v>75.226977950713362</v>
      </c>
      <c r="K27" s="4">
        <v>4.1096233680535228E-2</v>
      </c>
      <c r="L27" s="1" t="s">
        <v>16</v>
      </c>
      <c r="M27" s="3">
        <v>33.5105</v>
      </c>
      <c r="N27" s="3">
        <v>37.3917</v>
      </c>
      <c r="O27" s="13">
        <v>35.915700000000001</v>
      </c>
    </row>
    <row r="28" spans="1:15">
      <c r="A28" s="5">
        <v>27</v>
      </c>
      <c r="B28" s="1">
        <v>4</v>
      </c>
      <c r="C28" s="3">
        <v>37.242049999999999</v>
      </c>
      <c r="D28" s="3">
        <v>26.536750000000001</v>
      </c>
      <c r="E28" s="3">
        <v>26.096800000000002</v>
      </c>
      <c r="F28" s="3">
        <v>504</v>
      </c>
      <c r="G28" s="3">
        <v>507.93650793650789</v>
      </c>
      <c r="H28" s="3">
        <v>3.9365079365079501</v>
      </c>
      <c r="I28" s="3">
        <v>99.721217669947364</v>
      </c>
      <c r="J28" s="3">
        <v>59.357595178149083</v>
      </c>
      <c r="K28" s="4">
        <v>5.0626882436829834E-2</v>
      </c>
      <c r="L28" s="1" t="s">
        <v>15</v>
      </c>
      <c r="M28" s="3">
        <v>38.161499999999997</v>
      </c>
      <c r="N28" s="3">
        <v>36.322600000000001</v>
      </c>
      <c r="O28" s="13">
        <v>33.784999999999997</v>
      </c>
    </row>
    <row r="29" spans="1:15">
      <c r="A29" s="5">
        <v>28</v>
      </c>
      <c r="B29" s="1">
        <v>20</v>
      </c>
      <c r="C29" s="3">
        <v>43.483350000000002</v>
      </c>
      <c r="D29" s="3">
        <v>14.912850000000001</v>
      </c>
      <c r="E29" s="3">
        <v>40.840299999999999</v>
      </c>
      <c r="F29" s="3">
        <v>577</v>
      </c>
      <c r="G29" s="3">
        <v>581.19658119658118</v>
      </c>
      <c r="H29" s="3">
        <v>4.1965811965812003</v>
      </c>
      <c r="I29" s="3">
        <v>99.724193179217195</v>
      </c>
      <c r="J29" s="3">
        <v>70.12664988174258</v>
      </c>
      <c r="K29" s="4">
        <v>3.6701940157175942E-3</v>
      </c>
      <c r="L29" s="1" t="s">
        <v>17</v>
      </c>
      <c r="M29" s="3">
        <v>43.403700000000001</v>
      </c>
      <c r="N29" s="3">
        <v>34.3917</v>
      </c>
      <c r="O29" s="13">
        <v>43.563000000000002</v>
      </c>
    </row>
    <row r="30" spans="1:15">
      <c r="A30" s="5">
        <v>29</v>
      </c>
      <c r="B30" s="1">
        <v>5</v>
      </c>
      <c r="C30" s="3">
        <v>45.486049999999999</v>
      </c>
      <c r="D30" s="3">
        <v>13.948449999999999</v>
      </c>
      <c r="E30" s="3">
        <v>43.288400000000003</v>
      </c>
      <c r="F30" s="3">
        <v>586</v>
      </c>
      <c r="G30" s="3">
        <v>589.74358974358972</v>
      </c>
      <c r="H30" s="3">
        <v>3.7435897435897001</v>
      </c>
      <c r="I30" s="3">
        <v>99.718242160677505</v>
      </c>
      <c r="J30" s="3">
        <v>70.889600976577398</v>
      </c>
      <c r="K30" s="4">
        <v>3.6445648280802372E-2</v>
      </c>
      <c r="L30" s="1" t="s">
        <v>16</v>
      </c>
      <c r="M30" s="3">
        <v>35.429900000000004</v>
      </c>
      <c r="N30" s="3">
        <v>44.671999999999997</v>
      </c>
      <c r="O30" s="13">
        <v>46.3001</v>
      </c>
    </row>
    <row r="31" spans="1:15">
      <c r="A31" s="10">
        <v>30</v>
      </c>
      <c r="B31" s="14">
        <v>14</v>
      </c>
      <c r="C31" s="11">
        <v>87.106349999999992</v>
      </c>
      <c r="D31" s="11">
        <v>13.452</v>
      </c>
      <c r="E31" s="11">
        <v>86.061250000000001</v>
      </c>
      <c r="F31" s="11">
        <v>569</v>
      </c>
      <c r="G31" s="11">
        <v>573.26007326007323</v>
      </c>
      <c r="H31" s="11">
        <v>4.2600732600731996</v>
      </c>
      <c r="I31" s="11">
        <v>99.721217669947364</v>
      </c>
      <c r="J31" s="11">
        <v>68.715190356298166</v>
      </c>
      <c r="K31" s="15">
        <v>3.8359964849159741E-3</v>
      </c>
      <c r="L31" s="14" t="s">
        <v>17</v>
      </c>
      <c r="M31" s="11">
        <v>87.273099999999999</v>
      </c>
      <c r="N31" s="11">
        <v>46.025500000000001</v>
      </c>
      <c r="O31" s="16">
        <v>86.939599999999999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2E55-302B-40CA-A320-81BFD36660A4}">
  <dimension ref="A1:J31"/>
  <sheetViews>
    <sheetView workbookViewId="0"/>
  </sheetViews>
  <sheetFormatPr defaultRowHeight="13.9"/>
  <cols>
    <col min="1" max="1" width="5.796875" customWidth="1"/>
    <col min="2" max="3" width="10.19921875" customWidth="1"/>
    <col min="4" max="4" width="11.796875" customWidth="1"/>
    <col min="5" max="7" width="7.06640625" bestFit="1" customWidth="1"/>
    <col min="8" max="8" width="11.265625" customWidth="1"/>
    <col min="9" max="9" width="10.46484375" customWidth="1"/>
    <col min="10" max="10" width="10.59765625" customWidth="1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5">
        <v>1</v>
      </c>
      <c r="B2" s="3">
        <v>735</v>
      </c>
      <c r="C2" s="3">
        <v>739.31623931623926</v>
      </c>
      <c r="D2" s="3">
        <v>4.3162393162393</v>
      </c>
      <c r="E2" s="3">
        <v>35.928550000000001</v>
      </c>
      <c r="F2" s="3">
        <v>16.428850000000001</v>
      </c>
      <c r="G2" s="3">
        <v>31.952300000000001</v>
      </c>
      <c r="H2" s="3">
        <v>99.718242160677505</v>
      </c>
      <c r="I2" s="3">
        <v>91.565575646601033</v>
      </c>
      <c r="J2" s="6">
        <v>9.5840837649480582E-3</v>
      </c>
    </row>
    <row r="3" spans="1:10">
      <c r="A3" s="5">
        <v>2</v>
      </c>
      <c r="B3" s="3">
        <v>638</v>
      </c>
      <c r="C3" s="3">
        <v>642.85714285714289</v>
      </c>
      <c r="D3" s="3">
        <v>4.8571428571429003</v>
      </c>
      <c r="E3" s="3">
        <v>32.108400000000003</v>
      </c>
      <c r="F3" s="3">
        <v>17.01435</v>
      </c>
      <c r="G3" s="3">
        <v>27.226700000000001</v>
      </c>
      <c r="H3" s="3">
        <v>99.721217669947364</v>
      </c>
      <c r="I3" s="3">
        <v>78.160524910353246</v>
      </c>
      <c r="J3" s="6">
        <v>5.3148801029250965E-3</v>
      </c>
    </row>
    <row r="4" spans="1:10">
      <c r="A4" s="5">
        <v>3</v>
      </c>
      <c r="B4" s="3">
        <v>557</v>
      </c>
      <c r="C4" s="3">
        <v>561.050061050061</v>
      </c>
      <c r="D4" s="3">
        <v>4.0500610500610001</v>
      </c>
      <c r="E4" s="3">
        <v>34.556049999999999</v>
      </c>
      <c r="F4" s="3">
        <v>14.731450000000001</v>
      </c>
      <c r="G4" s="3">
        <v>31.25385</v>
      </c>
      <c r="H4" s="3">
        <v>99.718242160677505</v>
      </c>
      <c r="I4" s="3">
        <v>66.765850308995198</v>
      </c>
      <c r="J4" s="6">
        <v>9.5809114514425423E-3</v>
      </c>
    </row>
    <row r="5" spans="1:10">
      <c r="A5" s="5">
        <v>4</v>
      </c>
      <c r="B5" s="3">
        <v>504</v>
      </c>
      <c r="C5" s="3">
        <v>507.93650793650789</v>
      </c>
      <c r="D5" s="3">
        <v>3.9365079365079501</v>
      </c>
      <c r="E5" s="3">
        <v>37.242049999999999</v>
      </c>
      <c r="F5" s="3">
        <v>26.536750000000001</v>
      </c>
      <c r="G5" s="3">
        <v>26.096800000000002</v>
      </c>
      <c r="H5" s="3">
        <v>99.721217669947364</v>
      </c>
      <c r="I5" s="3">
        <v>59.357595178149083</v>
      </c>
      <c r="J5" s="6">
        <v>5.0626882436829834E-2</v>
      </c>
    </row>
    <row r="6" spans="1:10">
      <c r="A6" s="5">
        <v>5</v>
      </c>
      <c r="B6" s="3">
        <v>586</v>
      </c>
      <c r="C6" s="3">
        <v>589.74358974358972</v>
      </c>
      <c r="D6" s="3">
        <v>3.7435897435897001</v>
      </c>
      <c r="E6" s="3">
        <v>45.486049999999999</v>
      </c>
      <c r="F6" s="3">
        <v>13.948449999999999</v>
      </c>
      <c r="G6" s="3">
        <v>43.288400000000003</v>
      </c>
      <c r="H6" s="3">
        <v>99.718242160677505</v>
      </c>
      <c r="I6" s="3">
        <v>70.889600976577398</v>
      </c>
      <c r="J6" s="6">
        <v>3.6445648280802372E-2</v>
      </c>
    </row>
    <row r="7" spans="1:10">
      <c r="A7" s="5">
        <v>6</v>
      </c>
      <c r="B7" s="3">
        <v>625</v>
      </c>
      <c r="C7" s="3">
        <v>629.42612942612948</v>
      </c>
      <c r="D7" s="3">
        <v>4.4261294261295001</v>
      </c>
      <c r="E7" s="3">
        <v>36.020899999999997</v>
      </c>
      <c r="F7" s="3">
        <v>17.377299999999998</v>
      </c>
      <c r="G7" s="3">
        <v>31.544</v>
      </c>
      <c r="H7" s="3">
        <v>99.718242160677505</v>
      </c>
      <c r="I7" s="3">
        <v>76.50492103456169</v>
      </c>
      <c r="J7" s="6">
        <v>9.5958313923161162E-3</v>
      </c>
    </row>
    <row r="8" spans="1:10">
      <c r="A8" s="5">
        <v>7</v>
      </c>
      <c r="B8" s="3">
        <v>668</v>
      </c>
      <c r="C8" s="3">
        <v>672.7716727716728</v>
      </c>
      <c r="D8" s="3">
        <v>4.7716727716728</v>
      </c>
      <c r="E8" s="3">
        <v>33.236099999999993</v>
      </c>
      <c r="F8" s="3">
        <v>15.89385</v>
      </c>
      <c r="G8" s="3">
        <v>29.189399999999999</v>
      </c>
      <c r="H8" s="3">
        <v>99.718242160677505</v>
      </c>
      <c r="I8" s="3">
        <v>82.856488899061574</v>
      </c>
      <c r="J8" s="6">
        <v>1.8370395355000349E-3</v>
      </c>
    </row>
    <row r="9" spans="1:10">
      <c r="A9" s="5">
        <v>8</v>
      </c>
      <c r="B9" s="3">
        <v>656</v>
      </c>
      <c r="C9" s="3">
        <v>660.56166056166057</v>
      </c>
      <c r="D9" s="3">
        <v>4.5616605616605996</v>
      </c>
      <c r="E9" s="3">
        <v>32.960250000000002</v>
      </c>
      <c r="F9" s="3">
        <v>16.440550000000002</v>
      </c>
      <c r="G9" s="3">
        <v>28.566949999999999</v>
      </c>
      <c r="H9" s="3">
        <v>99.721217669947364</v>
      </c>
      <c r="I9" s="3">
        <v>80.97581445029374</v>
      </c>
      <c r="J9" s="6">
        <v>1.7295053614658235E-4</v>
      </c>
    </row>
    <row r="10" spans="1:10">
      <c r="A10" s="5">
        <v>9</v>
      </c>
      <c r="B10" s="3">
        <v>542</v>
      </c>
      <c r="C10" s="3">
        <v>545.78754578754581</v>
      </c>
      <c r="D10" s="3">
        <v>3.7875457875457998</v>
      </c>
      <c r="E10" s="3">
        <v>30.131</v>
      </c>
      <c r="F10" s="3">
        <v>15.8436</v>
      </c>
      <c r="G10" s="3">
        <v>25.6233</v>
      </c>
      <c r="H10" s="3">
        <v>99.721217669947364</v>
      </c>
      <c r="I10" s="3">
        <v>64.694438086518659</v>
      </c>
      <c r="J10" s="6">
        <v>1.0636736110184413E-2</v>
      </c>
    </row>
    <row r="11" spans="1:10">
      <c r="A11" s="5">
        <v>10</v>
      </c>
      <c r="B11" s="3">
        <v>706</v>
      </c>
      <c r="C11" s="3">
        <v>710.62271062271066</v>
      </c>
      <c r="D11" s="3">
        <v>4.6227106227107004</v>
      </c>
      <c r="E11" s="3">
        <v>34.549350000000004</v>
      </c>
      <c r="F11" s="3">
        <v>15.14485</v>
      </c>
      <c r="G11" s="3">
        <v>31.052800000000001</v>
      </c>
      <c r="H11" s="3">
        <v>99.718242160677505</v>
      </c>
      <c r="I11" s="3">
        <v>87.953002212558175</v>
      </c>
      <c r="J11" s="6">
        <v>3.9063859404907565E-3</v>
      </c>
    </row>
    <row r="12" spans="1:10">
      <c r="A12" s="5">
        <v>11</v>
      </c>
      <c r="B12" s="3">
        <v>693</v>
      </c>
      <c r="C12" s="3">
        <v>697.80219780219784</v>
      </c>
      <c r="D12" s="3">
        <v>4.8021978021978002</v>
      </c>
      <c r="E12" s="3">
        <v>34.068950000000001</v>
      </c>
      <c r="F12" s="3">
        <v>15.0473</v>
      </c>
      <c r="G12" s="3">
        <v>30.565800000000003</v>
      </c>
      <c r="H12" s="3">
        <v>99.721217669947364</v>
      </c>
      <c r="I12" s="3">
        <v>86.072327763790341</v>
      </c>
      <c r="J12" s="6">
        <v>4.0912486690941339E-3</v>
      </c>
    </row>
    <row r="13" spans="1:10">
      <c r="A13" s="5">
        <v>12</v>
      </c>
      <c r="B13" s="3">
        <v>527</v>
      </c>
      <c r="C13" s="3">
        <v>531.1355311355311</v>
      </c>
      <c r="D13" s="3">
        <v>4.1355311355311004</v>
      </c>
      <c r="E13" s="3">
        <v>30.237349999999999</v>
      </c>
      <c r="F13" s="3">
        <v>17.786250000000003</v>
      </c>
      <c r="G13" s="3">
        <v>24.4529</v>
      </c>
      <c r="H13" s="3">
        <v>99.721217669947364</v>
      </c>
      <c r="I13" s="3">
        <v>62.642099641412983</v>
      </c>
      <c r="J13" s="6">
        <v>7.6988453391940463E-3</v>
      </c>
    </row>
    <row r="14" spans="1:10">
      <c r="A14" s="5">
        <v>13</v>
      </c>
      <c r="B14" s="3">
        <v>721</v>
      </c>
      <c r="C14" s="3">
        <v>725.27472527472526</v>
      </c>
      <c r="D14" s="3">
        <v>4.2747252747253004</v>
      </c>
      <c r="E14" s="3">
        <v>35.272599999999997</v>
      </c>
      <c r="F14" s="3">
        <v>15.7127</v>
      </c>
      <c r="G14" s="3">
        <v>31.579499999999999</v>
      </c>
      <c r="H14" s="3">
        <v>99.721217669947364</v>
      </c>
      <c r="I14" s="3">
        <v>90.249485008011007</v>
      </c>
      <c r="J14" s="6">
        <v>1.1062856883506519E-3</v>
      </c>
    </row>
    <row r="15" spans="1:10">
      <c r="A15" s="5">
        <v>14</v>
      </c>
      <c r="B15" s="3">
        <v>569</v>
      </c>
      <c r="C15" s="3">
        <v>573.26007326007323</v>
      </c>
      <c r="D15" s="3">
        <v>4.2600732600731996</v>
      </c>
      <c r="E15" s="3">
        <v>87.106349999999992</v>
      </c>
      <c r="F15" s="3">
        <v>13.452</v>
      </c>
      <c r="G15" s="3">
        <v>86.061250000000001</v>
      </c>
      <c r="H15" s="3">
        <v>99.721217669947364</v>
      </c>
      <c r="I15" s="3">
        <v>68.715190356298166</v>
      </c>
      <c r="J15" s="6">
        <v>3.8359964849159741E-3</v>
      </c>
    </row>
    <row r="16" spans="1:10">
      <c r="A16" s="5">
        <v>15</v>
      </c>
      <c r="B16" s="3">
        <v>601</v>
      </c>
      <c r="C16" s="3">
        <v>605.00610500610503</v>
      </c>
      <c r="D16" s="3">
        <v>4.0061050061049999</v>
      </c>
      <c r="E16" s="3">
        <v>36.48415</v>
      </c>
      <c r="F16" s="3">
        <v>14.443849999999999</v>
      </c>
      <c r="G16" s="3">
        <v>33.499450000000003</v>
      </c>
      <c r="H16" s="3">
        <v>99.721217669947364</v>
      </c>
      <c r="I16" s="3">
        <v>73.258564126039516</v>
      </c>
      <c r="J16" s="6">
        <v>1.4441260428572205E-2</v>
      </c>
    </row>
    <row r="17" spans="1:10">
      <c r="A17" s="5">
        <v>16</v>
      </c>
      <c r="B17" s="3">
        <v>750</v>
      </c>
      <c r="C17" s="3">
        <v>754.57875457875457</v>
      </c>
      <c r="D17" s="3">
        <v>4.5787545787545998</v>
      </c>
      <c r="E17" s="3">
        <v>35.061999999999998</v>
      </c>
      <c r="F17" s="3">
        <v>15.565149999999999</v>
      </c>
      <c r="G17" s="3">
        <v>31.414449999999999</v>
      </c>
      <c r="H17" s="3">
        <v>99.721217669947364</v>
      </c>
      <c r="I17" s="3">
        <v>94.678416113527121</v>
      </c>
      <c r="J17" s="6">
        <v>5.7090228875756287E-3</v>
      </c>
    </row>
    <row r="18" spans="1:10">
      <c r="A18" s="5">
        <v>17</v>
      </c>
      <c r="B18" s="3">
        <v>613</v>
      </c>
      <c r="C18" s="3">
        <v>617.21611721611725</v>
      </c>
      <c r="D18" s="3">
        <v>4.2161172161172997</v>
      </c>
      <c r="E18" s="3">
        <v>36.653700000000001</v>
      </c>
      <c r="F18" s="3">
        <v>16.58155</v>
      </c>
      <c r="G18" s="3">
        <v>32.662500000000001</v>
      </c>
      <c r="H18" s="3">
        <v>99.721217669947364</v>
      </c>
      <c r="I18" s="3">
        <v>75.226977950713362</v>
      </c>
      <c r="J18" s="6">
        <v>4.1096233680535228E-2</v>
      </c>
    </row>
    <row r="19" spans="1:10">
      <c r="A19" s="5">
        <v>18</v>
      </c>
      <c r="B19" s="3">
        <v>680</v>
      </c>
      <c r="C19" s="3">
        <v>684.37118437118443</v>
      </c>
      <c r="D19" s="3">
        <v>4.3711843711844001</v>
      </c>
      <c r="E19" s="3">
        <v>34.451900000000002</v>
      </c>
      <c r="F19" s="3">
        <v>15.840999999999999</v>
      </c>
      <c r="G19" s="3">
        <v>30.593800000000002</v>
      </c>
      <c r="H19" s="3">
        <v>99.721217669947364</v>
      </c>
      <c r="I19" s="3">
        <v>84.794384679942013</v>
      </c>
      <c r="J19" s="6">
        <v>6.669112978851025E-3</v>
      </c>
    </row>
    <row r="20" spans="1:10">
      <c r="A20" s="5">
        <v>19</v>
      </c>
      <c r="B20" s="3">
        <v>516</v>
      </c>
      <c r="C20" s="3">
        <v>520.14652014652017</v>
      </c>
      <c r="D20" s="3">
        <v>4.1465201465202002</v>
      </c>
      <c r="E20" s="3">
        <v>33.570999999999998</v>
      </c>
      <c r="F20" s="3">
        <v>18.1586</v>
      </c>
      <c r="G20" s="3">
        <v>28.225100000000001</v>
      </c>
      <c r="H20" s="3">
        <v>99.721217669947364</v>
      </c>
      <c r="I20" s="3">
        <v>61.528191042954148</v>
      </c>
      <c r="J20" s="6">
        <v>1.5634662840056955E-2</v>
      </c>
    </row>
    <row r="21" spans="1:10">
      <c r="A21" s="5">
        <v>20</v>
      </c>
      <c r="B21" s="3">
        <v>577</v>
      </c>
      <c r="C21" s="3">
        <v>581.19658119658118</v>
      </c>
      <c r="D21" s="3">
        <v>4.1965811965812003</v>
      </c>
      <c r="E21" s="3">
        <v>43.483350000000002</v>
      </c>
      <c r="F21" s="3">
        <v>14.912850000000001</v>
      </c>
      <c r="G21" s="3">
        <v>40.840299999999999</v>
      </c>
      <c r="H21" s="3">
        <v>99.724193179217195</v>
      </c>
      <c r="I21" s="3">
        <v>70.12664988174258</v>
      </c>
      <c r="J21" s="6">
        <v>3.6701940157175942E-3</v>
      </c>
    </row>
    <row r="22" spans="1:10">
      <c r="A22" s="5">
        <v>21</v>
      </c>
      <c r="B22" s="3">
        <v>541</v>
      </c>
      <c r="C22" s="3">
        <v>545.17704517704522</v>
      </c>
      <c r="D22" s="3">
        <v>4.1770451770452004</v>
      </c>
      <c r="E22" s="3">
        <v>34.152749999999997</v>
      </c>
      <c r="F22" s="3">
        <v>15.915749999999999</v>
      </c>
      <c r="G22" s="3">
        <v>30.214599999999997</v>
      </c>
      <c r="H22" s="3">
        <v>99.724193179217195</v>
      </c>
      <c r="I22" s="3">
        <v>64.988174258030057</v>
      </c>
      <c r="J22" s="6">
        <v>2.241651911814347E-2</v>
      </c>
    </row>
    <row r="23" spans="1:10">
      <c r="A23" s="5">
        <v>22</v>
      </c>
      <c r="B23" s="3">
        <v>543</v>
      </c>
      <c r="C23" s="3">
        <v>547.008547008547</v>
      </c>
      <c r="D23" s="3">
        <v>4.0085470085469996</v>
      </c>
      <c r="E23" s="3">
        <v>34.39385</v>
      </c>
      <c r="F23" s="3">
        <v>15.570650000000001</v>
      </c>
      <c r="G23" s="3">
        <v>30.652799999999999</v>
      </c>
      <c r="H23" s="3">
        <v>99.721217669947364</v>
      </c>
      <c r="I23" s="3">
        <v>65.239948119325547</v>
      </c>
      <c r="J23" s="6">
        <v>4.6546430399028761E-2</v>
      </c>
    </row>
    <row r="24" spans="1:10">
      <c r="A24" s="5">
        <v>23</v>
      </c>
      <c r="B24" s="3">
        <v>540</v>
      </c>
      <c r="C24" s="3">
        <v>543.95604395604391</v>
      </c>
      <c r="D24" s="3">
        <v>3.9560439560438998</v>
      </c>
      <c r="E24" s="3">
        <v>35.427999999999997</v>
      </c>
      <c r="F24" s="3">
        <v>17.938400000000001</v>
      </c>
      <c r="G24" s="3">
        <v>30.550649999999997</v>
      </c>
      <c r="H24" s="3">
        <v>99.721217669947364</v>
      </c>
      <c r="I24" s="3">
        <v>64.793621728847185</v>
      </c>
      <c r="J24" s="6">
        <v>6.3811704647819174E-4</v>
      </c>
    </row>
    <row r="25" spans="1:10">
      <c r="A25" s="5">
        <v>24</v>
      </c>
      <c r="B25" s="3">
        <v>647</v>
      </c>
      <c r="C25" s="3">
        <v>651.40415140415143</v>
      </c>
      <c r="D25" s="3">
        <v>4.4041514041514001</v>
      </c>
      <c r="E25" s="3">
        <v>33.282299999999999</v>
      </c>
      <c r="F25" s="3">
        <v>16.114699999999999</v>
      </c>
      <c r="G25" s="3">
        <v>29.116199999999999</v>
      </c>
      <c r="H25" s="3">
        <v>99.718242160677505</v>
      </c>
      <c r="I25" s="3">
        <v>79.995422293430991</v>
      </c>
      <c r="J25" s="6">
        <v>6.5292096219931178E-3</v>
      </c>
    </row>
    <row r="26" spans="1:10">
      <c r="A26" s="5">
        <v>25</v>
      </c>
      <c r="B26" s="3">
        <v>594</v>
      </c>
      <c r="C26" s="3">
        <v>597.68009768009767</v>
      </c>
      <c r="D26" s="3">
        <v>3.6800976800976999</v>
      </c>
      <c r="E26" s="3">
        <v>36.400850000000005</v>
      </c>
      <c r="F26" s="3">
        <v>14.4651</v>
      </c>
      <c r="G26" s="3">
        <v>33.402950000000004</v>
      </c>
      <c r="H26" s="3">
        <v>99.721217669947364</v>
      </c>
      <c r="I26" s="3">
        <v>72.484168764782183</v>
      </c>
      <c r="J26" s="6">
        <v>1.7371714227126338E-2</v>
      </c>
    </row>
    <row r="27" spans="1:10">
      <c r="A27" s="5">
        <v>26</v>
      </c>
      <c r="B27" s="3">
        <v>713</v>
      </c>
      <c r="C27" s="3">
        <v>717.33821733821731</v>
      </c>
      <c r="D27" s="3">
        <v>4.3382173382172997</v>
      </c>
      <c r="E27" s="3">
        <v>35.399000000000001</v>
      </c>
      <c r="F27" s="3">
        <v>14.931950000000001</v>
      </c>
      <c r="G27" s="3">
        <v>32.095500000000001</v>
      </c>
      <c r="H27" s="3">
        <v>99.721217669947364</v>
      </c>
      <c r="I27" s="3">
        <v>89.639124132143124</v>
      </c>
      <c r="J27" s="6">
        <v>1.4700477765527268E-3</v>
      </c>
    </row>
    <row r="28" spans="1:10">
      <c r="A28" s="5">
        <v>27</v>
      </c>
      <c r="B28" s="3">
        <v>674</v>
      </c>
      <c r="C28" s="3">
        <v>678.87667887667885</v>
      </c>
      <c r="D28" s="3">
        <v>4.8766788766789002</v>
      </c>
      <c r="E28" s="3">
        <v>34.132999999999996</v>
      </c>
      <c r="F28" s="3">
        <v>15.504300000000001</v>
      </c>
      <c r="G28" s="3">
        <v>30.40635</v>
      </c>
      <c r="H28" s="3">
        <v>99.721217669947364</v>
      </c>
      <c r="I28" s="3">
        <v>84.195468070496688</v>
      </c>
      <c r="J28" s="6">
        <v>2.8341161870282633E-3</v>
      </c>
    </row>
    <row r="29" spans="1:10">
      <c r="A29" s="5">
        <v>28</v>
      </c>
      <c r="B29" s="3">
        <v>728</v>
      </c>
      <c r="C29" s="3">
        <v>732.60073260073261</v>
      </c>
      <c r="D29" s="3">
        <v>4.6007326007326004</v>
      </c>
      <c r="E29" s="3">
        <v>36.427700000000002</v>
      </c>
      <c r="F29" s="3">
        <v>15.20115</v>
      </c>
      <c r="G29" s="3">
        <v>33.103900000000003</v>
      </c>
      <c r="H29" s="3">
        <v>99.721217669947364</v>
      </c>
      <c r="I29" s="3">
        <v>92.038605325398635</v>
      </c>
      <c r="J29" s="6">
        <v>7.1021631569088547E-3</v>
      </c>
    </row>
    <row r="30" spans="1:10">
      <c r="A30" s="5">
        <v>29</v>
      </c>
      <c r="B30" s="3">
        <v>631</v>
      </c>
      <c r="C30" s="3">
        <v>635.53113553113553</v>
      </c>
      <c r="D30" s="3">
        <v>4.5311355311354999</v>
      </c>
      <c r="E30" s="3">
        <v>33.537999999999997</v>
      </c>
      <c r="F30" s="3">
        <v>16.866700000000002</v>
      </c>
      <c r="G30" s="3">
        <v>28.988050000000001</v>
      </c>
      <c r="H30" s="3">
        <v>99.721217669947364</v>
      </c>
      <c r="I30" s="3">
        <v>78.149080643930731</v>
      </c>
      <c r="J30" s="6">
        <v>3.6636131496567505E-2</v>
      </c>
    </row>
    <row r="31" spans="1:10">
      <c r="A31" s="10">
        <v>30</v>
      </c>
      <c r="B31" s="11">
        <v>662</v>
      </c>
      <c r="C31" s="11">
        <v>666.66666666666663</v>
      </c>
      <c r="D31" s="11">
        <v>4.6666666666666003</v>
      </c>
      <c r="E31" s="11">
        <v>33.516249999999999</v>
      </c>
      <c r="F31" s="11">
        <v>15.934850000000001</v>
      </c>
      <c r="G31" s="11">
        <v>29.484950000000001</v>
      </c>
      <c r="H31" s="11">
        <v>99.724193179217195</v>
      </c>
      <c r="I31" s="11">
        <v>82.627603570611129</v>
      </c>
      <c r="J31" s="12">
        <v>1.9416159546906089E-2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0C10-5546-412E-AA0D-96B0556FD34F}">
  <dimension ref="A1:P8"/>
  <sheetViews>
    <sheetView workbookViewId="0"/>
  </sheetViews>
  <sheetFormatPr defaultRowHeight="13.9"/>
  <cols>
    <col min="1" max="2" width="15.59765625" customWidth="1"/>
    <col min="4" max="4" width="13.59765625" customWidth="1"/>
    <col min="5" max="5" width="55.59765625" customWidth="1"/>
  </cols>
  <sheetData>
    <row r="1" spans="1:16" ht="25.5">
      <c r="A1" s="19" t="s">
        <v>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3" spans="1:16">
      <c r="A3" s="2" t="s">
        <v>32</v>
      </c>
      <c r="B3" s="2" t="s">
        <v>33</v>
      </c>
      <c r="D3" s="2" t="s">
        <v>34</v>
      </c>
      <c r="E3" s="2"/>
    </row>
    <row r="4" spans="1:16">
      <c r="A4" s="1" t="s">
        <v>35</v>
      </c>
      <c r="B4" s="1">
        <f>COUNTA(有效原始数据!A2:A31)</f>
        <v>30</v>
      </c>
      <c r="D4" s="1" t="s">
        <v>40</v>
      </c>
      <c r="E4" s="21" t="s">
        <v>41</v>
      </c>
    </row>
    <row r="5" spans="1:16">
      <c r="A5" s="1" t="s">
        <v>36</v>
      </c>
      <c r="B5" s="3">
        <f>INDEX(有效原始数据!B2:B31,MATCH(MIN(有效原始数据!E2:E31),有效原始数据!E2:E31,0))</f>
        <v>542</v>
      </c>
      <c r="D5" s="1" t="s">
        <v>42</v>
      </c>
      <c r="E5" s="21" t="s">
        <v>43</v>
      </c>
    </row>
    <row r="6" spans="1:16">
      <c r="A6" s="1" t="s">
        <v>37</v>
      </c>
      <c r="B6" s="3">
        <f>MIN(有效原始数据!E2:E31)</f>
        <v>30.131</v>
      </c>
    </row>
    <row r="7" spans="1:16">
      <c r="A7" s="1" t="s">
        <v>38</v>
      </c>
      <c r="B7" s="3">
        <f>CORREL(有效原始数据!B2:B31,有效原始数据!E2:E31)</f>
        <v>-0.14565845025462718</v>
      </c>
    </row>
    <row r="8" spans="1:16">
      <c r="A8" s="1" t="s">
        <v>39</v>
      </c>
      <c r="B8" s="3">
        <f>RSQ(有效原始数据!E2:E31,有效原始数据!B2:B31)</f>
        <v>2.1216384130579701E-2</v>
      </c>
    </row>
  </sheetData>
  <mergeCells count="1">
    <mergeCell ref="A1:P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弃用候选</vt:lpstr>
      <vt:lpstr>Uc分段统计</vt:lpstr>
      <vt:lpstr>Score排序</vt:lpstr>
      <vt:lpstr>有效原始数据</vt:lpstr>
      <vt:lpstr>Uc-score关系图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凌</dc:creator>
  <cp:lastModifiedBy>瑞 凌</cp:lastModifiedBy>
  <dcterms:created xsi:type="dcterms:W3CDTF">2026-07-30T06:04:16Z</dcterms:created>
  <dcterms:modified xsi:type="dcterms:W3CDTF">2026-07-30T06:04:19Z</dcterms:modified>
</cp:coreProperties>
</file>