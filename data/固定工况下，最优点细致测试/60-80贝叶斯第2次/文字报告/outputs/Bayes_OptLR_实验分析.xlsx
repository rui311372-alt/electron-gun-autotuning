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实验数据\10， Ua100，Ia80 最终成果\60-80贝叶斯第2次\文字报告\outputs\"/>
    </mc:Choice>
  </mc:AlternateContent>
  <xr:revisionPtr revIDLastSave="0" documentId="8_{5A945382-1AB5-4C0A-985E-A80AF3E11E7B}" xr6:coauthVersionLast="47" xr6:coauthVersionMax="47" xr10:uidLastSave="{00000000-0000-0000-0000-000000000000}"/>
  <bookViews>
    <workbookView xWindow="-98" yWindow="-98" windowWidth="23596" windowHeight="15076" activeTab="1" xr2:uid="{C76A762B-D586-443D-A815-CD8A3B8B0D91}"/>
  </bookViews>
  <sheets>
    <sheet name="统计分析" sheetId="4" r:id="rId1"/>
    <sheet name="结果排名" sheetId="3" r:id="rId2"/>
    <sheet name="原始数据" sheetId="2" r:id="rId3"/>
    <sheet name="实验概览" sheetId="1" r:id="rId4"/>
  </sheets>
  <definedNames>
    <definedName name="_xlnm._FilterDatabase" localSheetId="1" hidden="1">结果排名!$A$1:$K$1</definedName>
    <definedName name="_xlnm._FilterDatabase" localSheetId="2" hidden="1">原始数据!$A$1:$T$1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2" i="4" l="1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G7" i="4"/>
  <c r="G6" i="4"/>
  <c r="G5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</calcChain>
</file>

<file path=xl/sharedStrings.xml><?xml version="1.0" encoding="utf-8"?>
<sst xmlns="http://schemas.openxmlformats.org/spreadsheetml/2006/main" count="260" uniqueCount="127">
  <si>
    <t>Bayes OptLR 实验结果汇总（Ua=100 kV，Ia=80 μA）</t>
  </si>
  <si>
    <t>运行信息</t>
  </si>
  <si>
    <t>运行编号</t>
  </si>
  <si>
    <t>20260728_210635_run02</t>
  </si>
  <si>
    <t>固定 Ug (V)</t>
  </si>
  <si>
    <t>有效实验组数</t>
  </si>
  <si>
    <t>固定 If (A)</t>
  </si>
  <si>
    <t>失败尝试数</t>
  </si>
  <si>
    <t>最优迭代</t>
  </si>
  <si>
    <t>候选组数</t>
  </si>
  <si>
    <t>最优 Uc (V)</t>
  </si>
  <si>
    <t>固定 Ua (kV)</t>
  </si>
  <si>
    <t>最优 score</t>
  </si>
  <si>
    <t>固定 Ia (μA)</t>
  </si>
  <si>
    <t>最优 x1 / x2</t>
  </si>
  <si>
    <t>16.2453 / 25.3791</t>
  </si>
  <si>
    <t>推荐设定</t>
  </si>
  <si>
    <t>参数</t>
  </si>
  <si>
    <t>推荐值</t>
  </si>
  <si>
    <t>Ua (kV)</t>
  </si>
  <si>
    <t>Ia (μA)</t>
  </si>
  <si>
    <t>Uc (V)</t>
  </si>
  <si>
    <t>Ug (V)</t>
  </si>
  <si>
    <t>If (A)</t>
  </si>
  <si>
    <t>简要结论</t>
  </si>
  <si>
    <t>1. 60/60 组实验有效，未出现失败尝试；本次优化数据完整。</t>
  </si>
  <si>
    <t>2. 最优结果为迭代 33：Uc=543 V，score=30.1394，x1=16.2453，x2=25.3791。</t>
  </si>
  <si>
    <t>3. 前 10 名 Uc 集中在 537–643 V，建议后续优先在 537–547 V 附近加密验证。</t>
  </si>
  <si>
    <t>4. 54/60 组的入选两拍相对误差≤2%，测量重复性整体可接受；建议复测最优点及相邻 Uc 点。</t>
  </si>
  <si>
    <t>5. 本工作簿保留原始实验记录、排序结果及统计公式，便于后续复核与补充数据。</t>
  </si>
  <si>
    <t>迭代</t>
  </si>
  <si>
    <t>反馈 Ua (kV)</t>
  </si>
  <si>
    <t>反馈 Ia (μA)</t>
  </si>
  <si>
    <t>反馈 Uc (V)</t>
  </si>
  <si>
    <t>反馈 Ug (V)</t>
  </si>
  <si>
    <t>反馈 If (A)</t>
  </si>
  <si>
    <t>shot 1 score</t>
  </si>
  <si>
    <t>shot 2 score</t>
  </si>
  <si>
    <t>shot 3 score</t>
  </si>
  <si>
    <t>入选拍次</t>
  </si>
  <si>
    <t>两拍相对误差</t>
  </si>
  <si>
    <t>最终 score</t>
  </si>
  <si>
    <t>x1</t>
  </si>
  <si>
    <t>x2</t>
  </si>
  <si>
    <t>图像路径</t>
  </si>
  <si>
    <t>1, 2</t>
  </si>
  <si>
    <t>D:\RESULT\captured_tif\20260728_210635_run02\iter_001_shot_001.tif</t>
  </si>
  <si>
    <t>2, 3</t>
  </si>
  <si>
    <t>D:\RESULT\captured_tif\20260728_210635_run02\iter_002_shot_002.tif</t>
  </si>
  <si>
    <t>D:\RESULT\captured_tif\20260728_210635_run02\iter_003_shot_001.tif</t>
  </si>
  <si>
    <t>1, 3</t>
  </si>
  <si>
    <t>D:\RESULT\captured_tif\20260728_210635_run02\iter_004_shot_001.tif</t>
  </si>
  <si>
    <t>D:\RESULT\captured_tif\20260728_210635_run02\iter_005_shot_001.tif</t>
  </si>
  <si>
    <t>D:\RESULT\captured_tif\20260728_210635_run02\iter_006_shot_001.tif</t>
  </si>
  <si>
    <t>D:\RESULT\captured_tif\20260728_210635_run02\iter_007_shot_002.tif</t>
  </si>
  <si>
    <t>D:\RESULT\captured_tif\20260728_210635_run02\iter_008_shot_002.tif</t>
  </si>
  <si>
    <t>D:\RESULT\captured_tif\20260728_210635_run02\iter_009_shot_001.tif</t>
  </si>
  <si>
    <t>D:\RESULT\captured_tif\20260728_210635_run02\iter_010_shot_002.tif</t>
  </si>
  <si>
    <t>D:\RESULT\captured_tif\20260728_210635_run02\iter_011_shot_002.tif</t>
  </si>
  <si>
    <t>D:\RESULT\captured_tif\20260728_210635_run02\iter_012_shot_002.tif</t>
  </si>
  <si>
    <t>D:\RESULT\captured_tif\20260728_210635_run02\iter_013_shot_001.tif</t>
  </si>
  <si>
    <t>D:\RESULT\captured_tif\20260728_210635_run02\iter_014_shot_002.tif</t>
  </si>
  <si>
    <t>D:\RESULT\captured_tif\20260728_210635_run02\iter_015_shot_002.tif</t>
  </si>
  <si>
    <t>D:\RESULT\captured_tif\20260728_210635_run02\iter_016_shot_002.tif</t>
  </si>
  <si>
    <t>D:\RESULT\captured_tif\20260728_210635_run02\iter_017_shot_001.tif</t>
  </si>
  <si>
    <t>D:\RESULT\captured_tif\20260728_210635_run02\iter_018_shot_001.tif</t>
  </si>
  <si>
    <t>D:\RESULT\captured_tif\20260728_210635_run02\iter_019_shot_001.tif</t>
  </si>
  <si>
    <t>D:\RESULT\captured_tif\20260728_210635_run02\iter_020_shot_001.tif</t>
  </si>
  <si>
    <t>D:\RESULT\captured_tif\20260728_210635_run02\iter_021_shot_002.tif</t>
  </si>
  <si>
    <t>D:\RESULT\captured_tif\20260728_210635_run02\iter_022_shot_001.tif</t>
  </si>
  <si>
    <t>D:\RESULT\captured_tif\20260728_210635_run02\iter_023_shot_002.tif</t>
  </si>
  <si>
    <t>D:\RESULT\captured_tif\20260728_210635_run02\iter_024_shot_001.tif</t>
  </si>
  <si>
    <t>D:\RESULT\captured_tif\20260728_210635_run02\iter_025_shot_002.tif</t>
  </si>
  <si>
    <t>D:\RESULT\captured_tif\20260728_210635_run02\iter_026_shot_001.tif</t>
  </si>
  <si>
    <t>D:\RESULT\captured_tif\20260728_210635_run02\iter_027_shot_002.tif</t>
  </si>
  <si>
    <t>D:\RESULT\captured_tif\20260728_210635_run02\iter_028_shot_001.tif</t>
  </si>
  <si>
    <t>D:\RESULT\captured_tif\20260728_210635_run02\iter_029_shot_002.tif</t>
  </si>
  <si>
    <t>D:\RESULT\captured_tif\20260728_210635_run02\iter_030_shot_002.tif</t>
  </si>
  <si>
    <t>D:\RESULT\captured_tif\20260728_210635_run02\iter_031_shot_001.tif</t>
  </si>
  <si>
    <t>D:\RESULT\captured_tif\20260728_210635_run02\iter_032_shot_001.tif</t>
  </si>
  <si>
    <t>D:\RESULT\captured_tif\20260728_210635_run02\iter_033_shot_001.tif</t>
  </si>
  <si>
    <t>D:\RESULT\captured_tif\20260728_210635_run02\iter_034_shot_002.tif</t>
  </si>
  <si>
    <t>D:\RESULT\captured_tif\20260728_210635_run02\iter_035_shot_001.tif</t>
  </si>
  <si>
    <t>D:\RESULT\captured_tif\20260728_210635_run02\iter_036_shot_002.tif</t>
  </si>
  <si>
    <t>D:\RESULT\captured_tif\20260728_210635_run02\iter_037_shot_002.tif</t>
  </si>
  <si>
    <t>D:\RESULT\captured_tif\20260728_210635_run02\iter_038_shot_001.tif</t>
  </si>
  <si>
    <t>D:\RESULT\captured_tif\20260728_210635_run02\iter_039_shot_001.tif</t>
  </si>
  <si>
    <t>D:\RESULT\captured_tif\20260728_210635_run02\iter_040_shot_001.tif</t>
  </si>
  <si>
    <t>D:\RESULT\captured_tif\20260728_210635_run02\iter_041_shot_002.tif</t>
  </si>
  <si>
    <t>D:\RESULT\captured_tif\20260728_210635_run02\iter_042_shot_001.tif</t>
  </si>
  <si>
    <t>D:\RESULT\captured_tif\20260728_210635_run02\iter_043_shot_002.tif</t>
  </si>
  <si>
    <t>D:\RESULT\captured_tif\20260728_210635_run02\iter_044_shot_001.tif</t>
  </si>
  <si>
    <t>D:\RESULT\captured_tif\20260728_210635_run02\iter_045_shot_001.tif</t>
  </si>
  <si>
    <t>D:\RESULT\captured_tif\20260728_210635_run02\iter_046_shot_001.tif</t>
  </si>
  <si>
    <t>D:\RESULT\captured_tif\20260728_210635_run02\iter_047_shot_001.tif</t>
  </si>
  <si>
    <t>D:\RESULT\captured_tif\20260728_210635_run02\iter_048_shot_002.tif</t>
  </si>
  <si>
    <t>D:\RESULT\captured_tif\20260728_210635_run02\iter_049_shot_002.tif</t>
  </si>
  <si>
    <t>D:\RESULT\captured_tif\20260728_210635_run02\iter_050_shot_001.tif</t>
  </si>
  <si>
    <t>D:\RESULT\captured_tif\20260728_210635_run02\iter_051_shot_002.tif</t>
  </si>
  <si>
    <t>D:\RESULT\captured_tif\20260728_210635_run02\iter_052_shot_001.tif</t>
  </si>
  <si>
    <t>D:\RESULT\captured_tif\20260728_210635_run02\iter_053_shot_001.tif</t>
  </si>
  <si>
    <t>D:\RESULT\captured_tif\20260728_210635_run02\iter_054_shot_001.tif</t>
  </si>
  <si>
    <t>D:\RESULT\captured_tif\20260728_210635_run02\iter_055_shot_002.tif</t>
  </si>
  <si>
    <t>D:\RESULT\captured_tif\20260728_210635_run02\iter_056_shot_002.tif</t>
  </si>
  <si>
    <t>D:\RESULT\captured_tif\20260728_210635_run02\iter_057_shot_002.tif</t>
  </si>
  <si>
    <t>D:\RESULT\captured_tif\20260728_210635_run02\iter_058_shot_001.tif</t>
  </si>
  <si>
    <t>D:\RESULT\captured_tif\20260728_210635_run02\iter_059_shot_002.tif</t>
  </si>
  <si>
    <t>D:\RESULT\captured_tif\20260728_210635_run02\iter_060_shot_001.tif</t>
  </si>
  <si>
    <t>排名</t>
  </si>
  <si>
    <t>shot 1</t>
  </si>
  <si>
    <t>shot 2</t>
  </si>
  <si>
    <t>shot 3</t>
  </si>
  <si>
    <t>统计分析（全部 60 个有效实验组）</t>
  </si>
  <si>
    <t>描述统计</t>
  </si>
  <si>
    <t>指标</t>
  </si>
  <si>
    <t>score</t>
  </si>
  <si>
    <t>均值</t>
  </si>
  <si>
    <t>标准差</t>
  </si>
  <si>
    <t>最小值</t>
  </si>
  <si>
    <t>中位数</t>
  </si>
  <si>
    <t>最大值</t>
  </si>
  <si>
    <t>线性关系</t>
  </si>
  <si>
    <t>变量对</t>
  </si>
  <si>
    <t>Pearson r</t>
  </si>
  <si>
    <t>Uc 与 score</t>
  </si>
  <si>
    <t>x1 与 score</t>
  </si>
  <si>
    <t>x2 与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</si>
</sst>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6">
    <font>
      <sz val="11"/>
      <color theme="1"/>
      <name val="等线"/>
      <family val="2"/>
      <charset val="134"/>
      <scheme val="minor"/>
    </font>
    <font>
      <sz val="10"/>
      <color theme="1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sz val="9"/>
      <name val="等线"/>
      <family val="2"/>
      <charset val="134"/>
      <scheme val="minor"/>
    </font>
    <font>
      <b/>
      <sz val="10"/>
      <color rgb="FF00395D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395D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0F1012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>
      <alignment vertical="center"/>
    </xf>
    <xf numFmtId="0" fontId="1" fillId="0" borderId="1" xfId="0" applyFont="1" applyFill="1" applyBorder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vertical="center" wrapText="1"/>
    </xf>
    <xf numFmtId="176" fontId="1" fillId="0" borderId="1" xfId="0" applyNumberFormat="1" applyFont="1" applyBorder="1">
      <alignment vertical="center"/>
    </xf>
    <xf numFmtId="10" fontId="1" fillId="0" borderId="1" xfId="0" applyNumberFormat="1" applyFont="1" applyBorder="1">
      <alignment vertical="center"/>
    </xf>
    <xf numFmtId="0" fontId="1" fillId="5" borderId="1" xfId="0" applyFont="1" applyFill="1" applyBorder="1">
      <alignment vertical="center"/>
    </xf>
    <xf numFmtId="176" fontId="1" fillId="5" borderId="1" xfId="0" applyNumberFormat="1" applyFont="1" applyFill="1" applyBorder="1">
      <alignment vertical="center"/>
    </xf>
    <xf numFmtId="10" fontId="1" fillId="5" borderId="1" xfId="0" applyNumberFormat="1" applyFont="1" applyFill="1" applyBorder="1">
      <alignment vertical="center"/>
    </xf>
    <xf numFmtId="177" fontId="1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Uc </a:t>
            </a:r>
            <a:r>
              <a:rPr lang="zh-CN" altLang="en-US"/>
              <a:t>与最终 </a:t>
            </a:r>
            <a:r>
              <a:rPr lang="en-US" altLang="zh-CN"/>
              <a:t>score </a:t>
            </a:r>
            <a:r>
              <a:rPr lang="zh-CN" altLang="en-US"/>
              <a:t>的分布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统计分析!$B$12</c:f>
              <c:strCache>
                <c:ptCount val="1"/>
                <c:pt idx="0">
                  <c:v>最终 score</c:v>
                </c:pt>
              </c:strCache>
            </c:strRef>
          </c:tx>
          <c:spPr>
            <a:ln w="38100">
              <a:noFill/>
            </a:ln>
          </c:spPr>
          <c:xVal>
            <c:numRef>
              <c:f>统计分析!$A$13:$A$72</c:f>
              <c:numCache>
                <c:formatCode>General</c:formatCode>
                <c:ptCount val="60"/>
                <c:pt idx="0">
                  <c:v>505</c:v>
                </c:pt>
                <c:pt idx="1">
                  <c:v>547</c:v>
                </c:pt>
                <c:pt idx="2">
                  <c:v>522</c:v>
                </c:pt>
                <c:pt idx="3">
                  <c:v>620</c:v>
                </c:pt>
                <c:pt idx="4">
                  <c:v>561</c:v>
                </c:pt>
                <c:pt idx="5">
                  <c:v>572</c:v>
                </c:pt>
                <c:pt idx="6">
                  <c:v>689</c:v>
                </c:pt>
                <c:pt idx="7">
                  <c:v>674</c:v>
                </c:pt>
                <c:pt idx="8">
                  <c:v>591</c:v>
                </c:pt>
                <c:pt idx="9">
                  <c:v>640</c:v>
                </c:pt>
                <c:pt idx="10">
                  <c:v>735</c:v>
                </c:pt>
                <c:pt idx="11">
                  <c:v>660</c:v>
                </c:pt>
                <c:pt idx="12">
                  <c:v>722</c:v>
                </c:pt>
                <c:pt idx="13">
                  <c:v>604</c:v>
                </c:pt>
                <c:pt idx="14">
                  <c:v>701</c:v>
                </c:pt>
                <c:pt idx="15">
                  <c:v>750</c:v>
                </c:pt>
                <c:pt idx="16">
                  <c:v>535</c:v>
                </c:pt>
                <c:pt idx="17">
                  <c:v>630</c:v>
                </c:pt>
                <c:pt idx="18">
                  <c:v>651</c:v>
                </c:pt>
                <c:pt idx="19">
                  <c:v>581</c:v>
                </c:pt>
                <c:pt idx="20">
                  <c:v>546</c:v>
                </c:pt>
                <c:pt idx="21">
                  <c:v>548</c:v>
                </c:pt>
                <c:pt idx="22">
                  <c:v>545</c:v>
                </c:pt>
                <c:pt idx="23">
                  <c:v>711</c:v>
                </c:pt>
                <c:pt idx="24">
                  <c:v>612</c:v>
                </c:pt>
                <c:pt idx="25">
                  <c:v>667</c:v>
                </c:pt>
                <c:pt idx="26">
                  <c:v>555</c:v>
                </c:pt>
                <c:pt idx="27">
                  <c:v>681</c:v>
                </c:pt>
                <c:pt idx="28">
                  <c:v>742</c:v>
                </c:pt>
                <c:pt idx="29">
                  <c:v>598</c:v>
                </c:pt>
                <c:pt idx="30">
                  <c:v>549</c:v>
                </c:pt>
                <c:pt idx="31">
                  <c:v>544</c:v>
                </c:pt>
                <c:pt idx="32">
                  <c:v>543</c:v>
                </c:pt>
                <c:pt idx="33">
                  <c:v>625</c:v>
                </c:pt>
                <c:pt idx="34">
                  <c:v>695</c:v>
                </c:pt>
                <c:pt idx="35">
                  <c:v>728</c:v>
                </c:pt>
                <c:pt idx="36">
                  <c:v>586</c:v>
                </c:pt>
                <c:pt idx="37">
                  <c:v>635</c:v>
                </c:pt>
                <c:pt idx="38">
                  <c:v>646</c:v>
                </c:pt>
                <c:pt idx="39">
                  <c:v>706</c:v>
                </c:pt>
                <c:pt idx="40">
                  <c:v>542</c:v>
                </c:pt>
                <c:pt idx="41">
                  <c:v>541</c:v>
                </c:pt>
                <c:pt idx="42">
                  <c:v>540</c:v>
                </c:pt>
                <c:pt idx="43">
                  <c:v>567</c:v>
                </c:pt>
                <c:pt idx="44">
                  <c:v>685</c:v>
                </c:pt>
                <c:pt idx="45">
                  <c:v>716</c:v>
                </c:pt>
                <c:pt idx="46">
                  <c:v>616</c:v>
                </c:pt>
                <c:pt idx="47">
                  <c:v>655</c:v>
                </c:pt>
                <c:pt idx="48">
                  <c:v>576</c:v>
                </c:pt>
                <c:pt idx="49">
                  <c:v>608</c:v>
                </c:pt>
                <c:pt idx="50">
                  <c:v>539</c:v>
                </c:pt>
                <c:pt idx="51">
                  <c:v>538</c:v>
                </c:pt>
                <c:pt idx="52">
                  <c:v>537</c:v>
                </c:pt>
                <c:pt idx="53">
                  <c:v>746</c:v>
                </c:pt>
                <c:pt idx="54">
                  <c:v>595</c:v>
                </c:pt>
                <c:pt idx="55">
                  <c:v>677</c:v>
                </c:pt>
                <c:pt idx="56">
                  <c:v>643</c:v>
                </c:pt>
                <c:pt idx="57">
                  <c:v>663</c:v>
                </c:pt>
                <c:pt idx="58">
                  <c:v>719</c:v>
                </c:pt>
                <c:pt idx="59">
                  <c:v>564</c:v>
                </c:pt>
              </c:numCache>
            </c:numRef>
          </c:xVal>
          <c:yVal>
            <c:numRef>
              <c:f>统计分析!$B$13:$B$72</c:f>
              <c:numCache>
                <c:formatCode>General</c:formatCode>
                <c:ptCount val="60"/>
                <c:pt idx="0">
                  <c:v>34.09225</c:v>
                </c:pt>
                <c:pt idx="1">
                  <c:v>30.624400000000001</c:v>
                </c:pt>
                <c:pt idx="2">
                  <c:v>34.555349999999997</c:v>
                </c:pt>
                <c:pt idx="3">
                  <c:v>31.8338</c:v>
                </c:pt>
                <c:pt idx="4">
                  <c:v>34.701650000000001</c:v>
                </c:pt>
                <c:pt idx="5">
                  <c:v>42.854999999999997</c:v>
                </c:pt>
                <c:pt idx="6">
                  <c:v>34.741299999999903</c:v>
                </c:pt>
                <c:pt idx="7">
                  <c:v>33.606699999999996</c:v>
                </c:pt>
                <c:pt idx="8">
                  <c:v>35.656099999999903</c:v>
                </c:pt>
                <c:pt idx="9">
                  <c:v>32.570050000000002</c:v>
                </c:pt>
                <c:pt idx="10">
                  <c:v>35.955199999999998</c:v>
                </c:pt>
                <c:pt idx="11">
                  <c:v>33.328449999999997</c:v>
                </c:pt>
                <c:pt idx="12">
                  <c:v>36.113799999999998</c:v>
                </c:pt>
                <c:pt idx="13">
                  <c:v>36.991599999999998</c:v>
                </c:pt>
                <c:pt idx="14">
                  <c:v>34.650399999999998</c:v>
                </c:pt>
                <c:pt idx="15">
                  <c:v>35.799349999999997</c:v>
                </c:pt>
                <c:pt idx="16">
                  <c:v>33.67445</c:v>
                </c:pt>
                <c:pt idx="17">
                  <c:v>32.669350000000001</c:v>
                </c:pt>
                <c:pt idx="18">
                  <c:v>32.448099999999997</c:v>
                </c:pt>
                <c:pt idx="19">
                  <c:v>45.274699999999903</c:v>
                </c:pt>
                <c:pt idx="20">
                  <c:v>34.574399999999997</c:v>
                </c:pt>
                <c:pt idx="21">
                  <c:v>34.223199999999999</c:v>
                </c:pt>
                <c:pt idx="22">
                  <c:v>34.647399999999998</c:v>
                </c:pt>
                <c:pt idx="23">
                  <c:v>35.140749999999997</c:v>
                </c:pt>
                <c:pt idx="24">
                  <c:v>36.939900000000002</c:v>
                </c:pt>
                <c:pt idx="25">
                  <c:v>34.139600000000002</c:v>
                </c:pt>
                <c:pt idx="26">
                  <c:v>35.2866</c:v>
                </c:pt>
                <c:pt idx="27">
                  <c:v>34.306550000000001</c:v>
                </c:pt>
                <c:pt idx="28">
                  <c:v>36.296250000000001</c:v>
                </c:pt>
                <c:pt idx="29">
                  <c:v>36.534549999999903</c:v>
                </c:pt>
                <c:pt idx="30">
                  <c:v>34.9345</c:v>
                </c:pt>
                <c:pt idx="31">
                  <c:v>30.511050000000001</c:v>
                </c:pt>
                <c:pt idx="32">
                  <c:v>30.139399999999998</c:v>
                </c:pt>
                <c:pt idx="33">
                  <c:v>32.122699999999902</c:v>
                </c:pt>
                <c:pt idx="34">
                  <c:v>34.748449999999998</c:v>
                </c:pt>
                <c:pt idx="35">
                  <c:v>35.440249999999999</c:v>
                </c:pt>
                <c:pt idx="36">
                  <c:v>43.626049999999999</c:v>
                </c:pt>
                <c:pt idx="37">
                  <c:v>32.3917</c:v>
                </c:pt>
                <c:pt idx="38">
                  <c:v>32.391399999999997</c:v>
                </c:pt>
                <c:pt idx="39">
                  <c:v>35.390099999999997</c:v>
                </c:pt>
                <c:pt idx="40">
                  <c:v>34.959999999999901</c:v>
                </c:pt>
                <c:pt idx="41">
                  <c:v>30.471250000000001</c:v>
                </c:pt>
                <c:pt idx="42">
                  <c:v>35.004599999999897</c:v>
                </c:pt>
                <c:pt idx="43">
                  <c:v>34.902649999999902</c:v>
                </c:pt>
                <c:pt idx="44">
                  <c:v>34.501549999999902</c:v>
                </c:pt>
                <c:pt idx="45">
                  <c:v>35.771249999999903</c:v>
                </c:pt>
                <c:pt idx="46">
                  <c:v>31.418099999999999</c:v>
                </c:pt>
                <c:pt idx="47">
                  <c:v>33.055</c:v>
                </c:pt>
                <c:pt idx="48">
                  <c:v>94.415649999999999</c:v>
                </c:pt>
                <c:pt idx="49">
                  <c:v>32.116950000000003</c:v>
                </c:pt>
                <c:pt idx="50">
                  <c:v>34.716250000000002</c:v>
                </c:pt>
                <c:pt idx="51">
                  <c:v>30.721649999999901</c:v>
                </c:pt>
                <c:pt idx="52">
                  <c:v>30.1754</c:v>
                </c:pt>
                <c:pt idx="53">
                  <c:v>36.67895</c:v>
                </c:pt>
                <c:pt idx="54">
                  <c:v>36.105999999999902</c:v>
                </c:pt>
                <c:pt idx="55">
                  <c:v>33.638300000000001</c:v>
                </c:pt>
                <c:pt idx="56">
                  <c:v>31.869499999999999</c:v>
                </c:pt>
                <c:pt idx="57">
                  <c:v>33.377749999999999</c:v>
                </c:pt>
                <c:pt idx="58">
                  <c:v>36.470100000000002</c:v>
                </c:pt>
                <c:pt idx="59">
                  <c:v>35.487650000000002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78-49E2-A464-1A6A3A3AE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772768"/>
        <c:axId val="1503756448"/>
      </c:scatterChart>
      <c:valAx>
        <c:axId val="150377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3756448"/>
        <c:crosses val="autoZero"/>
        <c:crossBetween val="midCat"/>
      </c:valAx>
      <c:valAx>
        <c:axId val="1503756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37727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558800</xdr:colOff>
      <xdr:row>13</xdr:row>
      <xdr:rowOff>44450</xdr:rowOff>
    </xdr:from>
    <xdr:to>
      <xdr:col>16</xdr:col>
      <xdr:colOff>558800</xdr:colOff>
      <xdr:row>34</xdr:row>
      <xdr:rowOff>153987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7E7C0DA-736F-F4A7-B3A3-9651FA01B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8C05-B0BD-4C10-9837-C770F7E2B2F8}">
  <dimension ref="A1:H72"/>
  <sheetViews>
    <sheetView showGridLines="0" workbookViewId="0"/>
  </sheetViews>
  <sheetFormatPr defaultRowHeight="13.9"/>
  <cols>
    <col min="1" max="1" width="18.59765625" style="1" customWidth="1"/>
    <col min="2" max="3" width="15.59765625" style="1" customWidth="1"/>
    <col min="4" max="4" width="17.59765625" style="1" customWidth="1"/>
    <col min="5" max="5" width="9.06640625" style="1"/>
    <col min="6" max="6" width="18.59765625" style="1" customWidth="1"/>
    <col min="7" max="7" width="14.59765625" style="1" customWidth="1"/>
    <col min="8" max="16384" width="9.06640625" style="1"/>
  </cols>
  <sheetData>
    <row r="1" spans="1:8" ht="28.05" customHeight="1">
      <c r="A1" s="2" t="s">
        <v>112</v>
      </c>
      <c r="B1" s="2"/>
      <c r="C1" s="2"/>
      <c r="D1" s="2"/>
      <c r="E1" s="2"/>
      <c r="F1" s="2"/>
      <c r="G1" s="2"/>
      <c r="H1" s="2"/>
    </row>
    <row r="3" spans="1:8" ht="14.65">
      <c r="A3" s="3" t="s">
        <v>113</v>
      </c>
      <c r="B3" s="3"/>
      <c r="C3" s="3"/>
      <c r="D3" s="3"/>
      <c r="F3" s="3" t="s">
        <v>121</v>
      </c>
      <c r="G3" s="3"/>
    </row>
    <row r="4" spans="1:8" ht="14.65">
      <c r="A4" s="6" t="s">
        <v>114</v>
      </c>
      <c r="B4" s="6" t="s">
        <v>115</v>
      </c>
      <c r="C4" s="6" t="s">
        <v>21</v>
      </c>
      <c r="D4" s="6" t="s">
        <v>40</v>
      </c>
      <c r="F4" s="6" t="s">
        <v>122</v>
      </c>
      <c r="G4" s="6" t="s">
        <v>123</v>
      </c>
    </row>
    <row r="5" spans="1:8">
      <c r="A5" s="7" t="s">
        <v>116</v>
      </c>
      <c r="B5" s="9">
        <f>AVERAGE(原始数据!Q2:Q61)</f>
        <v>35.529755833333326</v>
      </c>
      <c r="C5" s="9">
        <f>AVERAGE(原始数据!D2:D61)</f>
        <v>620.31666666666672</v>
      </c>
      <c r="D5" s="10">
        <f>AVERAGE(原始数据!P2:P61)</f>
        <v>8.9808168030384786E-3</v>
      </c>
      <c r="F5" s="7" t="s">
        <v>124</v>
      </c>
      <c r="G5" s="14">
        <f>CORREL(原始数据!D2:D61,原始数据!Q2:Q61)</f>
        <v>-3.2950817994852E-2</v>
      </c>
    </row>
    <row r="6" spans="1:8">
      <c r="A6" s="7" t="s">
        <v>117</v>
      </c>
      <c r="B6" s="9">
        <f>_xlfn.STDEV.S(原始数据!Q2:Q61)</f>
        <v>8.2357687383160219</v>
      </c>
      <c r="C6" s="9">
        <f>_xlfn.STDEV.S(原始数据!D2:D61)</f>
        <v>69.964759087159806</v>
      </c>
      <c r="D6" s="10">
        <f>_xlfn.STDEV.S(原始数据!P2:P61)</f>
        <v>1.1063013198420684E-2</v>
      </c>
      <c r="F6" s="7" t="s">
        <v>125</v>
      </c>
      <c r="G6" s="14">
        <f>CORREL(原始数据!R2:R61,原始数据!Q2:Q61)</f>
        <v>-0.30907935724715135</v>
      </c>
    </row>
    <row r="7" spans="1:8">
      <c r="A7" s="7" t="s">
        <v>118</v>
      </c>
      <c r="B7" s="9">
        <f>MIN(原始数据!Q2:Q61)</f>
        <v>30.139399999999998</v>
      </c>
      <c r="C7" s="9">
        <f>MIN(原始数据!D2:D61)</f>
        <v>505</v>
      </c>
      <c r="D7" s="10">
        <f>MIN(原始数据!P2:P61)</f>
        <v>3.74124404998453E-5</v>
      </c>
      <c r="F7" s="7" t="s">
        <v>126</v>
      </c>
      <c r="G7" s="14">
        <f>CORREL(原始数据!S2:S61,原始数据!Q2:Q61)</f>
        <v>0.99448768508362373</v>
      </c>
    </row>
    <row r="8" spans="1:8">
      <c r="A8" s="7" t="s">
        <v>119</v>
      </c>
      <c r="B8" s="9">
        <f>MEDIAN(原始数据!Q2:Q61)</f>
        <v>34.648899999999998</v>
      </c>
      <c r="C8" s="9">
        <f>MEDIAN(原始数据!D2:D61)</f>
        <v>614</v>
      </c>
      <c r="D8" s="10">
        <f>MEDIAN(原始数据!P2:P61)</f>
        <v>6.0072549518351646E-3</v>
      </c>
    </row>
    <row r="9" spans="1:8">
      <c r="A9" s="7" t="s">
        <v>120</v>
      </c>
      <c r="B9" s="9">
        <f>MAX(原始数据!Q2:Q61)</f>
        <v>94.415649999999999</v>
      </c>
      <c r="C9" s="9">
        <f>MAX(原始数据!D2:D61)</f>
        <v>750</v>
      </c>
      <c r="D9" s="10">
        <f>MAX(原始数据!P2:P61)</f>
        <v>6.5176796578519505E-2</v>
      </c>
    </row>
    <row r="12" spans="1:8" ht="14.65">
      <c r="A12" s="5" t="s">
        <v>21</v>
      </c>
      <c r="B12" s="5" t="s">
        <v>41</v>
      </c>
    </row>
    <row r="13" spans="1:8">
      <c r="A13" s="1">
        <f>原始数据!D2</f>
        <v>505</v>
      </c>
      <c r="B13" s="1">
        <f>原始数据!Q2</f>
        <v>34.09225</v>
      </c>
    </row>
    <row r="14" spans="1:8">
      <c r="A14" s="1">
        <f>原始数据!D3</f>
        <v>547</v>
      </c>
      <c r="B14" s="1">
        <f>原始数据!Q3</f>
        <v>30.624400000000001</v>
      </c>
    </row>
    <row r="15" spans="1:8">
      <c r="A15" s="1">
        <f>原始数据!D4</f>
        <v>522</v>
      </c>
      <c r="B15" s="1">
        <f>原始数据!Q4</f>
        <v>34.555349999999997</v>
      </c>
    </row>
    <row r="16" spans="1:8">
      <c r="A16" s="1">
        <f>原始数据!D5</f>
        <v>620</v>
      </c>
      <c r="B16" s="1">
        <f>原始数据!Q5</f>
        <v>31.8338</v>
      </c>
    </row>
    <row r="17" spans="1:2">
      <c r="A17" s="1">
        <f>原始数据!D6</f>
        <v>561</v>
      </c>
      <c r="B17" s="1">
        <f>原始数据!Q6</f>
        <v>34.701650000000001</v>
      </c>
    </row>
    <row r="18" spans="1:2">
      <c r="A18" s="1">
        <f>原始数据!D7</f>
        <v>572</v>
      </c>
      <c r="B18" s="1">
        <f>原始数据!Q7</f>
        <v>42.854999999999997</v>
      </c>
    </row>
    <row r="19" spans="1:2">
      <c r="A19" s="1">
        <f>原始数据!D8</f>
        <v>689</v>
      </c>
      <c r="B19" s="1">
        <f>原始数据!Q8</f>
        <v>34.741299999999903</v>
      </c>
    </row>
    <row r="20" spans="1:2">
      <c r="A20" s="1">
        <f>原始数据!D9</f>
        <v>674</v>
      </c>
      <c r="B20" s="1">
        <f>原始数据!Q9</f>
        <v>33.606699999999996</v>
      </c>
    </row>
    <row r="21" spans="1:2">
      <c r="A21" s="1">
        <f>原始数据!D10</f>
        <v>591</v>
      </c>
      <c r="B21" s="1">
        <f>原始数据!Q10</f>
        <v>35.656099999999903</v>
      </c>
    </row>
    <row r="22" spans="1:2">
      <c r="A22" s="1">
        <f>原始数据!D11</f>
        <v>640</v>
      </c>
      <c r="B22" s="1">
        <f>原始数据!Q11</f>
        <v>32.570050000000002</v>
      </c>
    </row>
    <row r="23" spans="1:2">
      <c r="A23" s="1">
        <f>原始数据!D12</f>
        <v>735</v>
      </c>
      <c r="B23" s="1">
        <f>原始数据!Q12</f>
        <v>35.955199999999998</v>
      </c>
    </row>
    <row r="24" spans="1:2">
      <c r="A24" s="1">
        <f>原始数据!D13</f>
        <v>660</v>
      </c>
      <c r="B24" s="1">
        <f>原始数据!Q13</f>
        <v>33.328449999999997</v>
      </c>
    </row>
    <row r="25" spans="1:2">
      <c r="A25" s="1">
        <f>原始数据!D14</f>
        <v>722</v>
      </c>
      <c r="B25" s="1">
        <f>原始数据!Q14</f>
        <v>36.113799999999998</v>
      </c>
    </row>
    <row r="26" spans="1:2">
      <c r="A26" s="1">
        <f>原始数据!D15</f>
        <v>604</v>
      </c>
      <c r="B26" s="1">
        <f>原始数据!Q15</f>
        <v>36.991599999999998</v>
      </c>
    </row>
    <row r="27" spans="1:2">
      <c r="A27" s="1">
        <f>原始数据!D16</f>
        <v>701</v>
      </c>
      <c r="B27" s="1">
        <f>原始数据!Q16</f>
        <v>34.650399999999998</v>
      </c>
    </row>
    <row r="28" spans="1:2">
      <c r="A28" s="1">
        <f>原始数据!D17</f>
        <v>750</v>
      </c>
      <c r="B28" s="1">
        <f>原始数据!Q17</f>
        <v>35.799349999999997</v>
      </c>
    </row>
    <row r="29" spans="1:2">
      <c r="A29" s="1">
        <f>原始数据!D18</f>
        <v>535</v>
      </c>
      <c r="B29" s="1">
        <f>原始数据!Q18</f>
        <v>33.67445</v>
      </c>
    </row>
    <row r="30" spans="1:2">
      <c r="A30" s="1">
        <f>原始数据!D19</f>
        <v>630</v>
      </c>
      <c r="B30" s="1">
        <f>原始数据!Q19</f>
        <v>32.669350000000001</v>
      </c>
    </row>
    <row r="31" spans="1:2">
      <c r="A31" s="1">
        <f>原始数据!D20</f>
        <v>651</v>
      </c>
      <c r="B31" s="1">
        <f>原始数据!Q20</f>
        <v>32.448099999999997</v>
      </c>
    </row>
    <row r="32" spans="1:2">
      <c r="A32" s="1">
        <f>原始数据!D21</f>
        <v>581</v>
      </c>
      <c r="B32" s="1">
        <f>原始数据!Q21</f>
        <v>45.274699999999903</v>
      </c>
    </row>
    <row r="33" spans="1:2">
      <c r="A33" s="1">
        <f>原始数据!D22</f>
        <v>546</v>
      </c>
      <c r="B33" s="1">
        <f>原始数据!Q22</f>
        <v>34.574399999999997</v>
      </c>
    </row>
    <row r="34" spans="1:2">
      <c r="A34" s="1">
        <f>原始数据!D23</f>
        <v>548</v>
      </c>
      <c r="B34" s="1">
        <f>原始数据!Q23</f>
        <v>34.223199999999999</v>
      </c>
    </row>
    <row r="35" spans="1:2">
      <c r="A35" s="1">
        <f>原始数据!D24</f>
        <v>545</v>
      </c>
      <c r="B35" s="1">
        <f>原始数据!Q24</f>
        <v>34.647399999999998</v>
      </c>
    </row>
    <row r="36" spans="1:2">
      <c r="A36" s="1">
        <f>原始数据!D25</f>
        <v>711</v>
      </c>
      <c r="B36" s="1">
        <f>原始数据!Q25</f>
        <v>35.140749999999997</v>
      </c>
    </row>
    <row r="37" spans="1:2">
      <c r="A37" s="1">
        <f>原始数据!D26</f>
        <v>612</v>
      </c>
      <c r="B37" s="1">
        <f>原始数据!Q26</f>
        <v>36.939900000000002</v>
      </c>
    </row>
    <row r="38" spans="1:2">
      <c r="A38" s="1">
        <f>原始数据!D27</f>
        <v>667</v>
      </c>
      <c r="B38" s="1">
        <f>原始数据!Q27</f>
        <v>34.139600000000002</v>
      </c>
    </row>
    <row r="39" spans="1:2">
      <c r="A39" s="1">
        <f>原始数据!D28</f>
        <v>555</v>
      </c>
      <c r="B39" s="1">
        <f>原始数据!Q28</f>
        <v>35.2866</v>
      </c>
    </row>
    <row r="40" spans="1:2">
      <c r="A40" s="1">
        <f>原始数据!D29</f>
        <v>681</v>
      </c>
      <c r="B40" s="1">
        <f>原始数据!Q29</f>
        <v>34.306550000000001</v>
      </c>
    </row>
    <row r="41" spans="1:2">
      <c r="A41" s="1">
        <f>原始数据!D30</f>
        <v>742</v>
      </c>
      <c r="B41" s="1">
        <f>原始数据!Q30</f>
        <v>36.296250000000001</v>
      </c>
    </row>
    <row r="42" spans="1:2">
      <c r="A42" s="1">
        <f>原始数据!D31</f>
        <v>598</v>
      </c>
      <c r="B42" s="1">
        <f>原始数据!Q31</f>
        <v>36.534549999999903</v>
      </c>
    </row>
    <row r="43" spans="1:2">
      <c r="A43" s="1">
        <f>原始数据!D32</f>
        <v>549</v>
      </c>
      <c r="B43" s="1">
        <f>原始数据!Q32</f>
        <v>34.9345</v>
      </c>
    </row>
    <row r="44" spans="1:2">
      <c r="A44" s="1">
        <f>原始数据!D33</f>
        <v>544</v>
      </c>
      <c r="B44" s="1">
        <f>原始数据!Q33</f>
        <v>30.511050000000001</v>
      </c>
    </row>
    <row r="45" spans="1:2">
      <c r="A45" s="1">
        <f>原始数据!D34</f>
        <v>543</v>
      </c>
      <c r="B45" s="1">
        <f>原始数据!Q34</f>
        <v>30.139399999999998</v>
      </c>
    </row>
    <row r="46" spans="1:2">
      <c r="A46" s="1">
        <f>原始数据!D35</f>
        <v>625</v>
      </c>
      <c r="B46" s="1">
        <f>原始数据!Q35</f>
        <v>32.122699999999902</v>
      </c>
    </row>
    <row r="47" spans="1:2">
      <c r="A47" s="1">
        <f>原始数据!D36</f>
        <v>695</v>
      </c>
      <c r="B47" s="1">
        <f>原始数据!Q36</f>
        <v>34.748449999999998</v>
      </c>
    </row>
    <row r="48" spans="1:2">
      <c r="A48" s="1">
        <f>原始数据!D37</f>
        <v>728</v>
      </c>
      <c r="B48" s="1">
        <f>原始数据!Q37</f>
        <v>35.440249999999999</v>
      </c>
    </row>
    <row r="49" spans="1:2">
      <c r="A49" s="1">
        <f>原始数据!D38</f>
        <v>586</v>
      </c>
      <c r="B49" s="1">
        <f>原始数据!Q38</f>
        <v>43.626049999999999</v>
      </c>
    </row>
    <row r="50" spans="1:2">
      <c r="A50" s="1">
        <f>原始数据!D39</f>
        <v>635</v>
      </c>
      <c r="B50" s="1">
        <f>原始数据!Q39</f>
        <v>32.3917</v>
      </c>
    </row>
    <row r="51" spans="1:2">
      <c r="A51" s="1">
        <f>原始数据!D40</f>
        <v>646</v>
      </c>
      <c r="B51" s="1">
        <f>原始数据!Q40</f>
        <v>32.391399999999997</v>
      </c>
    </row>
    <row r="52" spans="1:2">
      <c r="A52" s="1">
        <f>原始数据!D41</f>
        <v>706</v>
      </c>
      <c r="B52" s="1">
        <f>原始数据!Q41</f>
        <v>35.390099999999997</v>
      </c>
    </row>
    <row r="53" spans="1:2">
      <c r="A53" s="1">
        <f>原始数据!D42</f>
        <v>542</v>
      </c>
      <c r="B53" s="1">
        <f>原始数据!Q42</f>
        <v>34.959999999999901</v>
      </c>
    </row>
    <row r="54" spans="1:2">
      <c r="A54" s="1">
        <f>原始数据!D43</f>
        <v>541</v>
      </c>
      <c r="B54" s="1">
        <f>原始数据!Q43</f>
        <v>30.471250000000001</v>
      </c>
    </row>
    <row r="55" spans="1:2">
      <c r="A55" s="1">
        <f>原始数据!D44</f>
        <v>540</v>
      </c>
      <c r="B55" s="1">
        <f>原始数据!Q44</f>
        <v>35.004599999999897</v>
      </c>
    </row>
    <row r="56" spans="1:2">
      <c r="A56" s="1">
        <f>原始数据!D45</f>
        <v>567</v>
      </c>
      <c r="B56" s="1">
        <f>原始数据!Q45</f>
        <v>34.902649999999902</v>
      </c>
    </row>
    <row r="57" spans="1:2">
      <c r="A57" s="1">
        <f>原始数据!D46</f>
        <v>685</v>
      </c>
      <c r="B57" s="1">
        <f>原始数据!Q46</f>
        <v>34.501549999999902</v>
      </c>
    </row>
    <row r="58" spans="1:2">
      <c r="A58" s="1">
        <f>原始数据!D47</f>
        <v>716</v>
      </c>
      <c r="B58" s="1">
        <f>原始数据!Q47</f>
        <v>35.771249999999903</v>
      </c>
    </row>
    <row r="59" spans="1:2">
      <c r="A59" s="1">
        <f>原始数据!D48</f>
        <v>616</v>
      </c>
      <c r="B59" s="1">
        <f>原始数据!Q48</f>
        <v>31.418099999999999</v>
      </c>
    </row>
    <row r="60" spans="1:2">
      <c r="A60" s="1">
        <f>原始数据!D49</f>
        <v>655</v>
      </c>
      <c r="B60" s="1">
        <f>原始数据!Q49</f>
        <v>33.055</v>
      </c>
    </row>
    <row r="61" spans="1:2">
      <c r="A61" s="1">
        <f>原始数据!D50</f>
        <v>576</v>
      </c>
      <c r="B61" s="1">
        <f>原始数据!Q50</f>
        <v>94.415649999999999</v>
      </c>
    </row>
    <row r="62" spans="1:2">
      <c r="A62" s="1">
        <f>原始数据!D51</f>
        <v>608</v>
      </c>
      <c r="B62" s="1">
        <f>原始数据!Q51</f>
        <v>32.116950000000003</v>
      </c>
    </row>
    <row r="63" spans="1:2">
      <c r="A63" s="1">
        <f>原始数据!D52</f>
        <v>539</v>
      </c>
      <c r="B63" s="1">
        <f>原始数据!Q52</f>
        <v>34.716250000000002</v>
      </c>
    </row>
    <row r="64" spans="1:2">
      <c r="A64" s="1">
        <f>原始数据!D53</f>
        <v>538</v>
      </c>
      <c r="B64" s="1">
        <f>原始数据!Q53</f>
        <v>30.721649999999901</v>
      </c>
    </row>
    <row r="65" spans="1:2">
      <c r="A65" s="1">
        <f>原始数据!D54</f>
        <v>537</v>
      </c>
      <c r="B65" s="1">
        <f>原始数据!Q54</f>
        <v>30.1754</v>
      </c>
    </row>
    <row r="66" spans="1:2">
      <c r="A66" s="1">
        <f>原始数据!D55</f>
        <v>746</v>
      </c>
      <c r="B66" s="1">
        <f>原始数据!Q55</f>
        <v>36.67895</v>
      </c>
    </row>
    <row r="67" spans="1:2">
      <c r="A67" s="1">
        <f>原始数据!D56</f>
        <v>595</v>
      </c>
      <c r="B67" s="1">
        <f>原始数据!Q56</f>
        <v>36.105999999999902</v>
      </c>
    </row>
    <row r="68" spans="1:2">
      <c r="A68" s="1">
        <f>原始数据!D57</f>
        <v>677</v>
      </c>
      <c r="B68" s="1">
        <f>原始数据!Q57</f>
        <v>33.638300000000001</v>
      </c>
    </row>
    <row r="69" spans="1:2">
      <c r="A69" s="1">
        <f>原始数据!D58</f>
        <v>643</v>
      </c>
      <c r="B69" s="1">
        <f>原始数据!Q58</f>
        <v>31.869499999999999</v>
      </c>
    </row>
    <row r="70" spans="1:2">
      <c r="A70" s="1">
        <f>原始数据!D59</f>
        <v>663</v>
      </c>
      <c r="B70" s="1">
        <f>原始数据!Q59</f>
        <v>33.377749999999999</v>
      </c>
    </row>
    <row r="71" spans="1:2">
      <c r="A71" s="1">
        <f>原始数据!D60</f>
        <v>719</v>
      </c>
      <c r="B71" s="1">
        <f>原始数据!Q60</f>
        <v>36.470100000000002</v>
      </c>
    </row>
    <row r="72" spans="1:2">
      <c r="A72" s="1">
        <f>原始数据!D61</f>
        <v>564</v>
      </c>
      <c r="B72" s="1">
        <f>原始数据!Q61</f>
        <v>35.487650000000002</v>
      </c>
    </row>
  </sheetData>
  <mergeCells count="3">
    <mergeCell ref="A1:H1"/>
    <mergeCell ref="A3:D3"/>
    <mergeCell ref="F3:G3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B16D-4244-469C-9AF1-C94604DA4D34}">
  <dimension ref="A1:K61"/>
  <sheetViews>
    <sheetView showGridLines="0" tabSelected="1" workbookViewId="0">
      <pane ySplit="1" topLeftCell="A2" activePane="bottomLeft" state="frozenSplit"/>
      <selection pane="bottomLeft"/>
    </sheetView>
  </sheetViews>
  <sheetFormatPr defaultRowHeight="13.9"/>
  <cols>
    <col min="1" max="2" width="9.19921875" style="1" bestFit="1" customWidth="1"/>
    <col min="3" max="3" width="14.53125" style="1" bestFit="1" customWidth="1"/>
    <col min="4" max="4" width="11.19921875" style="1" bestFit="1" customWidth="1"/>
    <col min="5" max="6" width="7.9296875" style="1" bestFit="1" customWidth="1"/>
    <col min="7" max="7" width="16.53125" style="1" bestFit="1" customWidth="1"/>
    <col min="8" max="8" width="12.796875" style="1" bestFit="1" customWidth="1"/>
    <col min="9" max="11" width="11.19921875" style="1" bestFit="1" customWidth="1"/>
    <col min="12" max="16384" width="9.06640625" style="1"/>
  </cols>
  <sheetData>
    <row r="1" spans="1:11" ht="14.65">
      <c r="A1" s="6" t="s">
        <v>108</v>
      </c>
      <c r="B1" s="6" t="s">
        <v>30</v>
      </c>
      <c r="C1" s="6" t="s">
        <v>41</v>
      </c>
      <c r="D1" s="6" t="s">
        <v>21</v>
      </c>
      <c r="E1" s="6" t="s">
        <v>42</v>
      </c>
      <c r="F1" s="6" t="s">
        <v>43</v>
      </c>
      <c r="G1" s="6" t="s">
        <v>40</v>
      </c>
      <c r="H1" s="6" t="s">
        <v>39</v>
      </c>
      <c r="I1" s="6" t="s">
        <v>109</v>
      </c>
      <c r="J1" s="6" t="s">
        <v>110</v>
      </c>
      <c r="K1" s="6" t="s">
        <v>111</v>
      </c>
    </row>
    <row r="2" spans="1:11">
      <c r="A2" s="11">
        <v>1</v>
      </c>
      <c r="B2" s="11">
        <v>33</v>
      </c>
      <c r="C2" s="12">
        <v>30.139399999999998</v>
      </c>
      <c r="D2" s="11">
        <v>543</v>
      </c>
      <c r="E2" s="12">
        <v>16.245249999999999</v>
      </c>
      <c r="F2" s="12">
        <v>25.379100000000001</v>
      </c>
      <c r="G2" s="13">
        <v>1.00839663601017E-2</v>
      </c>
      <c r="H2" s="11" t="s">
        <v>50</v>
      </c>
      <c r="I2" s="12">
        <v>30.290600000000001</v>
      </c>
      <c r="J2" s="12">
        <v>35.932200000000002</v>
      </c>
      <c r="K2" s="12">
        <v>29.988199999999999</v>
      </c>
    </row>
    <row r="3" spans="1:11">
      <c r="A3" s="11">
        <v>2</v>
      </c>
      <c r="B3" s="11">
        <v>53</v>
      </c>
      <c r="C3" s="12">
        <v>30.1754</v>
      </c>
      <c r="D3" s="11">
        <v>537</v>
      </c>
      <c r="E3" s="12">
        <v>17.0794</v>
      </c>
      <c r="F3" s="12">
        <v>24.873149999999999</v>
      </c>
      <c r="G3" s="13">
        <v>6.4698235593338999E-3</v>
      </c>
      <c r="H3" s="11" t="s">
        <v>45</v>
      </c>
      <c r="I3" s="12">
        <v>30.078099999999999</v>
      </c>
      <c r="J3" s="12">
        <v>30.2727</v>
      </c>
      <c r="K3" s="12">
        <v>29.5761</v>
      </c>
    </row>
    <row r="4" spans="1:11">
      <c r="A4" s="11">
        <v>3</v>
      </c>
      <c r="B4" s="11">
        <v>42</v>
      </c>
      <c r="C4" s="12">
        <v>30.471250000000001</v>
      </c>
      <c r="D4" s="11">
        <v>541</v>
      </c>
      <c r="E4" s="12">
        <v>16.942049999999998</v>
      </c>
      <c r="F4" s="12">
        <v>25.326049999999999</v>
      </c>
      <c r="G4" s="13">
        <v>1.6394527437258999E-2</v>
      </c>
      <c r="H4" s="11" t="s">
        <v>45</v>
      </c>
      <c r="I4" s="12">
        <v>30.223500000000001</v>
      </c>
      <c r="J4" s="12">
        <v>30.719000000000001</v>
      </c>
      <c r="K4" s="12">
        <v>35.244399999999999</v>
      </c>
    </row>
    <row r="5" spans="1:11">
      <c r="A5" s="11">
        <v>4</v>
      </c>
      <c r="B5" s="11">
        <v>32</v>
      </c>
      <c r="C5" s="12">
        <v>30.511050000000001</v>
      </c>
      <c r="D5" s="11">
        <v>544</v>
      </c>
      <c r="E5" s="12">
        <v>16.831699999999898</v>
      </c>
      <c r="F5" s="12">
        <v>25.447600000000001</v>
      </c>
      <c r="G5" s="13">
        <v>2.4644363135182699E-3</v>
      </c>
      <c r="H5" s="11" t="s">
        <v>50</v>
      </c>
      <c r="I5" s="12">
        <v>30.473500000000001</v>
      </c>
      <c r="J5" s="12">
        <v>35.141199999999998</v>
      </c>
      <c r="K5" s="12">
        <v>30.5486</v>
      </c>
    </row>
    <row r="6" spans="1:11">
      <c r="A6" s="11">
        <v>5</v>
      </c>
      <c r="B6" s="11">
        <v>2</v>
      </c>
      <c r="C6" s="12">
        <v>30.624400000000001</v>
      </c>
      <c r="D6" s="11">
        <v>547</v>
      </c>
      <c r="E6" s="12">
        <v>16.974550000000001</v>
      </c>
      <c r="F6" s="12">
        <v>25.488050000000001</v>
      </c>
      <c r="G6" s="13">
        <v>2.2667529688387599E-2</v>
      </c>
      <c r="H6" s="11" t="s">
        <v>47</v>
      </c>
      <c r="I6" s="12">
        <v>29.428999999999998</v>
      </c>
      <c r="J6" s="12">
        <v>30.281199999999998</v>
      </c>
      <c r="K6" s="12">
        <v>30.967600000000001</v>
      </c>
    </row>
    <row r="7" spans="1:11">
      <c r="A7" s="11">
        <v>6</v>
      </c>
      <c r="B7" s="11">
        <v>52</v>
      </c>
      <c r="C7" s="12">
        <v>30.721649999999901</v>
      </c>
      <c r="D7" s="11">
        <v>538</v>
      </c>
      <c r="E7" s="12">
        <v>17.127299999999899</v>
      </c>
      <c r="F7" s="12">
        <v>25.50395</v>
      </c>
      <c r="G7" s="13">
        <v>4.8716024406956701E-3</v>
      </c>
      <c r="H7" s="11" t="s">
        <v>45</v>
      </c>
      <c r="I7" s="12">
        <v>30.646999999999998</v>
      </c>
      <c r="J7" s="12">
        <v>30.796299999999999</v>
      </c>
      <c r="K7" s="12">
        <v>34.571599999999997</v>
      </c>
    </row>
    <row r="8" spans="1:11">
      <c r="A8" s="11">
        <v>7</v>
      </c>
      <c r="B8" s="11">
        <v>47</v>
      </c>
      <c r="C8" s="12">
        <v>31.418099999999999</v>
      </c>
      <c r="D8" s="11">
        <v>616</v>
      </c>
      <c r="E8" s="12">
        <v>16.62405</v>
      </c>
      <c r="F8" s="12">
        <v>26.658850000000001</v>
      </c>
      <c r="G8" s="13">
        <v>4.0871872655404901E-2</v>
      </c>
      <c r="H8" s="11" t="s">
        <v>45</v>
      </c>
      <c r="I8" s="12">
        <v>32.0473</v>
      </c>
      <c r="J8" s="12">
        <v>30.788900000000002</v>
      </c>
      <c r="K8" s="12">
        <v>33.658200000000001</v>
      </c>
    </row>
    <row r="9" spans="1:11">
      <c r="A9" s="11">
        <v>8</v>
      </c>
      <c r="B9" s="11">
        <v>4</v>
      </c>
      <c r="C9" s="12">
        <v>31.8338</v>
      </c>
      <c r="D9" s="11">
        <v>620</v>
      </c>
      <c r="E9" s="12">
        <v>17.00705</v>
      </c>
      <c r="F9" s="12">
        <v>26.908049999999999</v>
      </c>
      <c r="G9" s="13">
        <v>8.9549695663560507E-3</v>
      </c>
      <c r="H9" s="11" t="s">
        <v>50</v>
      </c>
      <c r="I9" s="12">
        <v>31.6919</v>
      </c>
      <c r="J9" s="12">
        <v>31.353100000000001</v>
      </c>
      <c r="K9" s="12">
        <v>31.9757</v>
      </c>
    </row>
    <row r="10" spans="1:11">
      <c r="A10" s="11">
        <v>9</v>
      </c>
      <c r="B10" s="11">
        <v>57</v>
      </c>
      <c r="C10" s="12">
        <v>31.869499999999999</v>
      </c>
      <c r="D10" s="11">
        <v>643</v>
      </c>
      <c r="E10" s="12">
        <v>16.330749999999998</v>
      </c>
      <c r="F10" s="12">
        <v>27.3673</v>
      </c>
      <c r="G10" s="13">
        <v>3.75356022357897E-3</v>
      </c>
      <c r="H10" s="11" t="s">
        <v>47</v>
      </c>
      <c r="I10" s="12">
        <v>31.409500000000001</v>
      </c>
      <c r="J10" s="12">
        <v>31.809799999999999</v>
      </c>
      <c r="K10" s="12">
        <v>31.929200000000002</v>
      </c>
    </row>
    <row r="11" spans="1:11">
      <c r="A11" s="11">
        <v>10</v>
      </c>
      <c r="B11" s="11">
        <v>50</v>
      </c>
      <c r="C11" s="12">
        <v>32.116950000000003</v>
      </c>
      <c r="D11" s="11">
        <v>608</v>
      </c>
      <c r="E11" s="12">
        <v>15.11675</v>
      </c>
      <c r="F11" s="12">
        <v>28.33475</v>
      </c>
      <c r="G11" s="13">
        <v>1.3147502757998201E-2</v>
      </c>
      <c r="H11" s="11" t="s">
        <v>45</v>
      </c>
      <c r="I11" s="12">
        <v>31.9072</v>
      </c>
      <c r="J11" s="12">
        <v>32.326700000000002</v>
      </c>
      <c r="K11" s="12">
        <v>36.256300000000003</v>
      </c>
    </row>
    <row r="12" spans="1:11">
      <c r="A12" s="7">
        <v>11</v>
      </c>
      <c r="B12" s="7">
        <v>34</v>
      </c>
      <c r="C12" s="9">
        <v>32.122699999999902</v>
      </c>
      <c r="D12" s="7">
        <v>625</v>
      </c>
      <c r="E12" s="9">
        <v>17.439900000000002</v>
      </c>
      <c r="F12" s="9">
        <v>26.9756</v>
      </c>
      <c r="G12" s="10">
        <v>6.0411671285764002E-4</v>
      </c>
      <c r="H12" s="7" t="s">
        <v>47</v>
      </c>
      <c r="I12" s="9">
        <v>32.536200000000001</v>
      </c>
      <c r="J12" s="9">
        <v>32.132399999999997</v>
      </c>
      <c r="K12" s="9">
        <v>32.113</v>
      </c>
    </row>
    <row r="13" spans="1:11">
      <c r="A13" s="7">
        <v>12</v>
      </c>
      <c r="B13" s="7">
        <v>39</v>
      </c>
      <c r="C13" s="9">
        <v>32.391399999999997</v>
      </c>
      <c r="D13" s="7">
        <v>646</v>
      </c>
      <c r="E13" s="9">
        <v>16.006699999999999</v>
      </c>
      <c r="F13" s="9">
        <v>28.15765</v>
      </c>
      <c r="G13" s="10">
        <v>1.1744502721855199E-2</v>
      </c>
      <c r="H13" s="7" t="s">
        <v>45</v>
      </c>
      <c r="I13" s="9">
        <v>32.202300000000001</v>
      </c>
      <c r="J13" s="9">
        <v>32.580500000000001</v>
      </c>
      <c r="K13" s="9">
        <v>33.202800000000003</v>
      </c>
    </row>
    <row r="14" spans="1:11">
      <c r="A14" s="7">
        <v>13</v>
      </c>
      <c r="B14" s="7">
        <v>38</v>
      </c>
      <c r="C14" s="9">
        <v>32.3917</v>
      </c>
      <c r="D14" s="7">
        <v>635</v>
      </c>
      <c r="E14" s="9">
        <v>16.663049999999998</v>
      </c>
      <c r="F14" s="9">
        <v>27.775749999999999</v>
      </c>
      <c r="G14" s="10">
        <v>5.6203022610909004E-4</v>
      </c>
      <c r="H14" s="7" t="s">
        <v>45</v>
      </c>
      <c r="I14" s="9">
        <v>32.382599999999996</v>
      </c>
      <c r="J14" s="9">
        <v>32.400799999999997</v>
      </c>
      <c r="K14" s="9">
        <v>36.982199999999999</v>
      </c>
    </row>
    <row r="15" spans="1:11">
      <c r="A15" s="7">
        <v>14</v>
      </c>
      <c r="B15" s="7">
        <v>19</v>
      </c>
      <c r="C15" s="9">
        <v>32.448099999999997</v>
      </c>
      <c r="D15" s="7">
        <v>651</v>
      </c>
      <c r="E15" s="9">
        <v>16.209350000000001</v>
      </c>
      <c r="F15" s="9">
        <v>28.108550000000001</v>
      </c>
      <c r="G15" s="10">
        <v>2.134912922085E-3</v>
      </c>
      <c r="H15" s="7" t="s">
        <v>45</v>
      </c>
      <c r="I15" s="9">
        <v>32.482700000000001</v>
      </c>
      <c r="J15" s="9">
        <v>32.413499999999999</v>
      </c>
      <c r="K15" s="9">
        <v>32.686</v>
      </c>
    </row>
    <row r="16" spans="1:11">
      <c r="A16" s="7">
        <v>15</v>
      </c>
      <c r="B16" s="7">
        <v>10</v>
      </c>
      <c r="C16" s="9">
        <v>32.570050000000002</v>
      </c>
      <c r="D16" s="7">
        <v>640</v>
      </c>
      <c r="E16" s="9">
        <v>16.625399999999999</v>
      </c>
      <c r="F16" s="9">
        <v>28.006900000000002</v>
      </c>
      <c r="G16" s="10">
        <v>6.1440762789379899E-3</v>
      </c>
      <c r="H16" s="7" t="s">
        <v>47</v>
      </c>
      <c r="I16" s="9">
        <v>32.108699999999999</v>
      </c>
      <c r="J16" s="9">
        <v>32.470300000000002</v>
      </c>
      <c r="K16" s="9">
        <v>32.669800000000002</v>
      </c>
    </row>
    <row r="17" spans="1:11">
      <c r="A17" s="7">
        <v>16</v>
      </c>
      <c r="B17" s="7">
        <v>18</v>
      </c>
      <c r="C17" s="9">
        <v>32.669350000000001</v>
      </c>
      <c r="D17" s="7">
        <v>630</v>
      </c>
      <c r="E17" s="9">
        <v>17.715599999999998</v>
      </c>
      <c r="F17" s="9">
        <v>27.448599999999999</v>
      </c>
      <c r="G17" s="10">
        <v>1.2098157404686E-3</v>
      </c>
      <c r="H17" s="7" t="s">
        <v>45</v>
      </c>
      <c r="I17" s="9">
        <v>32.6496</v>
      </c>
      <c r="J17" s="9">
        <v>32.689100000000003</v>
      </c>
      <c r="K17" s="9">
        <v>31.996099999999998</v>
      </c>
    </row>
    <row r="18" spans="1:11">
      <c r="A18" s="7">
        <v>17</v>
      </c>
      <c r="B18" s="7">
        <v>48</v>
      </c>
      <c r="C18" s="9">
        <v>33.055</v>
      </c>
      <c r="D18" s="7">
        <v>655</v>
      </c>
      <c r="E18" s="9">
        <v>16.222249999999999</v>
      </c>
      <c r="F18" s="9">
        <v>28.8</v>
      </c>
      <c r="G18" s="10">
        <v>7.4821297347850398E-3</v>
      </c>
      <c r="H18" s="7" t="s">
        <v>47</v>
      </c>
      <c r="I18" s="9">
        <v>33.475999999999999</v>
      </c>
      <c r="J18" s="9">
        <v>33.178199999999997</v>
      </c>
      <c r="K18" s="9">
        <v>32.931800000000003</v>
      </c>
    </row>
    <row r="19" spans="1:11">
      <c r="A19" s="7">
        <v>18</v>
      </c>
      <c r="B19" s="7">
        <v>12</v>
      </c>
      <c r="C19" s="9">
        <v>33.328449999999997</v>
      </c>
      <c r="D19" s="7">
        <v>660</v>
      </c>
      <c r="E19" s="9">
        <v>16.926449999999999</v>
      </c>
      <c r="F19" s="9">
        <v>28.70815</v>
      </c>
      <c r="G19" s="10">
        <v>9.5174642605198399E-3</v>
      </c>
      <c r="H19" s="7" t="s">
        <v>47</v>
      </c>
      <c r="I19" s="9">
        <v>34.399799999999999</v>
      </c>
      <c r="J19" s="9">
        <v>33.1706</v>
      </c>
      <c r="K19" s="9">
        <v>33.4863</v>
      </c>
    </row>
    <row r="20" spans="1:11">
      <c r="A20" s="7">
        <v>19</v>
      </c>
      <c r="B20" s="7">
        <v>58</v>
      </c>
      <c r="C20" s="9">
        <v>33.377749999999999</v>
      </c>
      <c r="D20" s="7">
        <v>663</v>
      </c>
      <c r="E20" s="9">
        <v>16.3507</v>
      </c>
      <c r="F20" s="9">
        <v>29.098649999999999</v>
      </c>
      <c r="G20" s="10">
        <v>7.7566709174466198E-3</v>
      </c>
      <c r="H20" s="7" t="s">
        <v>45</v>
      </c>
      <c r="I20" s="9">
        <v>33.248800000000003</v>
      </c>
      <c r="J20" s="9">
        <v>33.506700000000002</v>
      </c>
      <c r="K20" s="9">
        <v>32.907499999999999</v>
      </c>
    </row>
    <row r="21" spans="1:11">
      <c r="A21" s="7">
        <v>20</v>
      </c>
      <c r="B21" s="7">
        <v>8</v>
      </c>
      <c r="C21" s="9">
        <v>33.606699999999996</v>
      </c>
      <c r="D21" s="7">
        <v>674</v>
      </c>
      <c r="E21" s="9">
        <v>16.173500000000001</v>
      </c>
      <c r="F21" s="9">
        <v>29.458600000000001</v>
      </c>
      <c r="G21" s="10">
        <v>8.0785145571606303E-3</v>
      </c>
      <c r="H21" s="7" t="s">
        <v>47</v>
      </c>
      <c r="I21" s="9">
        <v>34.526200000000003</v>
      </c>
      <c r="J21" s="9">
        <v>33.471499999999999</v>
      </c>
      <c r="K21" s="9">
        <v>33.741900000000001</v>
      </c>
    </row>
    <row r="22" spans="1:11">
      <c r="A22" s="7">
        <v>21</v>
      </c>
      <c r="B22" s="7">
        <v>56</v>
      </c>
      <c r="C22" s="9">
        <v>33.638300000000001</v>
      </c>
      <c r="D22" s="7">
        <v>677</v>
      </c>
      <c r="E22" s="9">
        <v>15.9032</v>
      </c>
      <c r="F22" s="9">
        <v>29.6404</v>
      </c>
      <c r="G22" s="10">
        <v>4.2817511172679002E-4</v>
      </c>
      <c r="H22" s="7" t="s">
        <v>47</v>
      </c>
      <c r="I22" s="9">
        <v>34.001100000000001</v>
      </c>
      <c r="J22" s="9">
        <v>33.645499999999998</v>
      </c>
      <c r="K22" s="9">
        <v>33.631100000000004</v>
      </c>
    </row>
    <row r="23" spans="1:11">
      <c r="A23" s="7">
        <v>22</v>
      </c>
      <c r="B23" s="7">
        <v>17</v>
      </c>
      <c r="C23" s="9">
        <v>33.67445</v>
      </c>
      <c r="D23" s="7">
        <v>535</v>
      </c>
      <c r="E23" s="9">
        <v>16.849</v>
      </c>
      <c r="F23" s="9">
        <v>29.155899999999999</v>
      </c>
      <c r="G23" s="10">
        <v>1.58969615880796E-2</v>
      </c>
      <c r="H23" s="7" t="s">
        <v>45</v>
      </c>
      <c r="I23" s="9">
        <v>33.408900000000003</v>
      </c>
      <c r="J23" s="9">
        <v>33.94</v>
      </c>
      <c r="K23" s="9">
        <v>29.2957</v>
      </c>
    </row>
    <row r="24" spans="1:11">
      <c r="A24" s="7">
        <v>23</v>
      </c>
      <c r="B24" s="7">
        <v>1</v>
      </c>
      <c r="C24" s="9">
        <v>34.09225</v>
      </c>
      <c r="D24" s="7">
        <v>505</v>
      </c>
      <c r="E24" s="9">
        <v>23.026199999999999</v>
      </c>
      <c r="F24" s="9">
        <v>25.13175</v>
      </c>
      <c r="G24" s="10">
        <v>1.1005620203382101E-3</v>
      </c>
      <c r="H24" s="7" t="s">
        <v>45</v>
      </c>
      <c r="I24" s="9">
        <v>34.073500000000003</v>
      </c>
      <c r="J24" s="9">
        <v>34.110999999999997</v>
      </c>
      <c r="K24" s="9">
        <v>34.8553</v>
      </c>
    </row>
    <row r="25" spans="1:11">
      <c r="A25" s="7">
        <v>24</v>
      </c>
      <c r="B25" s="7">
        <v>26</v>
      </c>
      <c r="C25" s="9">
        <v>34.139600000000002</v>
      </c>
      <c r="D25" s="7">
        <v>667</v>
      </c>
      <c r="E25" s="9">
        <v>16.757649999999899</v>
      </c>
      <c r="F25" s="9">
        <v>29.74325</v>
      </c>
      <c r="G25" s="10">
        <v>6.81879636487612E-3</v>
      </c>
      <c r="H25" s="7" t="s">
        <v>50</v>
      </c>
      <c r="I25" s="9">
        <v>34.023600000000002</v>
      </c>
      <c r="J25" s="9">
        <v>33.502899999999997</v>
      </c>
      <c r="K25" s="9">
        <v>34.255600000000001</v>
      </c>
    </row>
    <row r="26" spans="1:11">
      <c r="A26" s="7">
        <v>25</v>
      </c>
      <c r="B26" s="7">
        <v>22</v>
      </c>
      <c r="C26" s="9">
        <v>34.223199999999999</v>
      </c>
      <c r="D26" s="7">
        <v>548</v>
      </c>
      <c r="E26" s="9">
        <v>15.92315</v>
      </c>
      <c r="F26" s="9">
        <v>30.291249999999899</v>
      </c>
      <c r="G26" s="10">
        <v>3.3234513037743801E-2</v>
      </c>
      <c r="H26" s="7" t="s">
        <v>50</v>
      </c>
      <c r="I26" s="9">
        <v>33.663800000000002</v>
      </c>
      <c r="J26" s="9">
        <v>30.4803</v>
      </c>
      <c r="K26" s="9">
        <v>34.782600000000002</v>
      </c>
    </row>
    <row r="27" spans="1:11">
      <c r="A27" s="7">
        <v>26</v>
      </c>
      <c r="B27" s="7">
        <v>28</v>
      </c>
      <c r="C27" s="9">
        <v>34.306550000000001</v>
      </c>
      <c r="D27" s="7">
        <v>681</v>
      </c>
      <c r="E27" s="9">
        <v>15.99615</v>
      </c>
      <c r="F27" s="9">
        <v>30.345199999999998</v>
      </c>
      <c r="G27" s="10">
        <v>1.0411593323747599E-3</v>
      </c>
      <c r="H27" s="7" t="s">
        <v>50</v>
      </c>
      <c r="I27" s="9">
        <v>34.288699999999999</v>
      </c>
      <c r="J27" s="9">
        <v>33.482700000000001</v>
      </c>
      <c r="K27" s="9">
        <v>34.324399999999997</v>
      </c>
    </row>
    <row r="28" spans="1:11">
      <c r="A28" s="7">
        <v>27</v>
      </c>
      <c r="B28" s="7">
        <v>45</v>
      </c>
      <c r="C28" s="9">
        <v>34.501549999999902</v>
      </c>
      <c r="D28" s="7">
        <v>685</v>
      </c>
      <c r="E28" s="9">
        <v>16.0596</v>
      </c>
      <c r="F28" s="9">
        <v>30.53415</v>
      </c>
      <c r="G28" s="10">
        <v>3.7488747568023002E-3</v>
      </c>
      <c r="H28" s="7" t="s">
        <v>45</v>
      </c>
      <c r="I28" s="9">
        <v>34.566099999999999</v>
      </c>
      <c r="J28" s="9">
        <v>34.436999999999998</v>
      </c>
      <c r="K28" s="9">
        <v>34.747500000000002</v>
      </c>
    </row>
    <row r="29" spans="1:11">
      <c r="A29" s="7">
        <v>28</v>
      </c>
      <c r="B29" s="7">
        <v>3</v>
      </c>
      <c r="C29" s="9">
        <v>34.555349999999997</v>
      </c>
      <c r="D29" s="7">
        <v>522</v>
      </c>
      <c r="E29" s="9">
        <v>21.035350000000001</v>
      </c>
      <c r="F29" s="9">
        <v>27.414850000000001</v>
      </c>
      <c r="G29" s="10">
        <v>3.1274093225202599E-3</v>
      </c>
      <c r="H29" s="7" t="s">
        <v>45</v>
      </c>
      <c r="I29" s="9">
        <v>34.501399999999997</v>
      </c>
      <c r="J29" s="9">
        <v>34.609299999999998</v>
      </c>
      <c r="K29" s="9">
        <v>30.952500000000001</v>
      </c>
    </row>
    <row r="30" spans="1:11">
      <c r="A30" s="7">
        <v>29</v>
      </c>
      <c r="B30" s="7">
        <v>21</v>
      </c>
      <c r="C30" s="9">
        <v>34.574399999999997</v>
      </c>
      <c r="D30" s="7">
        <v>546</v>
      </c>
      <c r="E30" s="9">
        <v>16.7178</v>
      </c>
      <c r="F30" s="9">
        <v>30.248649999999898</v>
      </c>
      <c r="G30" s="10">
        <v>1.11126545353529E-3</v>
      </c>
      <c r="H30" s="7" t="s">
        <v>47</v>
      </c>
      <c r="I30" s="9">
        <v>30.7866</v>
      </c>
      <c r="J30" s="9">
        <v>34.555199999999999</v>
      </c>
      <c r="K30" s="9">
        <v>34.593600000000002</v>
      </c>
    </row>
    <row r="31" spans="1:11">
      <c r="A31" s="7">
        <v>30</v>
      </c>
      <c r="B31" s="7">
        <v>23</v>
      </c>
      <c r="C31" s="9">
        <v>34.647399999999998</v>
      </c>
      <c r="D31" s="7">
        <v>545</v>
      </c>
      <c r="E31" s="9">
        <v>17.607749999999999</v>
      </c>
      <c r="F31" s="9">
        <v>29.83625</v>
      </c>
      <c r="G31" s="10">
        <v>5.8704336247323401E-3</v>
      </c>
      <c r="H31" s="7" t="s">
        <v>47</v>
      </c>
      <c r="I31" s="9">
        <v>29.489899999999999</v>
      </c>
      <c r="J31" s="9">
        <v>34.545999999999999</v>
      </c>
      <c r="K31" s="9">
        <v>34.748800000000003</v>
      </c>
    </row>
    <row r="32" spans="1:11">
      <c r="A32" s="7">
        <v>31</v>
      </c>
      <c r="B32" s="7">
        <v>15</v>
      </c>
      <c r="C32" s="9">
        <v>34.650399999999998</v>
      </c>
      <c r="D32" s="7">
        <v>701</v>
      </c>
      <c r="E32" s="9">
        <v>15.616</v>
      </c>
      <c r="F32" s="9">
        <v>30.9313</v>
      </c>
      <c r="G32" s="10">
        <v>5.3069125864109098E-3</v>
      </c>
      <c r="H32" s="7" t="s">
        <v>47</v>
      </c>
      <c r="I32" s="9">
        <v>35.0137</v>
      </c>
      <c r="J32" s="9">
        <v>34.742100000000001</v>
      </c>
      <c r="K32" s="9">
        <v>34.558700000000002</v>
      </c>
    </row>
    <row r="33" spans="1:11">
      <c r="A33" s="7">
        <v>32</v>
      </c>
      <c r="B33" s="7">
        <v>5</v>
      </c>
      <c r="C33" s="9">
        <v>34.701650000000001</v>
      </c>
      <c r="D33" s="7">
        <v>561</v>
      </c>
      <c r="E33" s="9">
        <v>15.287649999999999</v>
      </c>
      <c r="F33" s="9">
        <v>31.1525</v>
      </c>
      <c r="G33" s="10">
        <v>6.8896531247020199E-4</v>
      </c>
      <c r="H33" s="7" t="s">
        <v>50</v>
      </c>
      <c r="I33" s="9">
        <v>34.7136</v>
      </c>
      <c r="J33" s="9">
        <v>34.509599999999999</v>
      </c>
      <c r="K33" s="9">
        <v>34.689700000000002</v>
      </c>
    </row>
    <row r="34" spans="1:11">
      <c r="A34" s="7">
        <v>33</v>
      </c>
      <c r="B34" s="7">
        <v>51</v>
      </c>
      <c r="C34" s="9">
        <v>34.716250000000002</v>
      </c>
      <c r="D34" s="7">
        <v>539</v>
      </c>
      <c r="E34" s="9">
        <v>16.220600000000001</v>
      </c>
      <c r="F34" s="9">
        <v>30.6937</v>
      </c>
      <c r="G34" s="10">
        <v>2.34983140549819E-2</v>
      </c>
      <c r="H34" s="7" t="s">
        <v>47</v>
      </c>
      <c r="I34" s="9">
        <v>30.582699999999999</v>
      </c>
      <c r="J34" s="9">
        <v>34.313099999999999</v>
      </c>
      <c r="K34" s="9">
        <v>35.119399999999999</v>
      </c>
    </row>
    <row r="35" spans="1:11">
      <c r="A35" s="7">
        <v>34</v>
      </c>
      <c r="B35" s="7">
        <v>7</v>
      </c>
      <c r="C35" s="9">
        <v>34.741299999999903</v>
      </c>
      <c r="D35" s="7">
        <v>689</v>
      </c>
      <c r="E35" s="9">
        <v>16.129049999999999</v>
      </c>
      <c r="F35" s="9">
        <v>30.770199999999999</v>
      </c>
      <c r="G35" s="10">
        <v>2.87883280602655E-4</v>
      </c>
      <c r="H35" s="7" t="s">
        <v>47</v>
      </c>
      <c r="I35" s="9">
        <v>34.7119</v>
      </c>
      <c r="J35" s="9">
        <v>34.7363</v>
      </c>
      <c r="K35" s="9">
        <v>34.746299999999998</v>
      </c>
    </row>
    <row r="36" spans="1:11">
      <c r="A36" s="7">
        <v>35</v>
      </c>
      <c r="B36" s="7">
        <v>35</v>
      </c>
      <c r="C36" s="9">
        <v>34.748449999999998</v>
      </c>
      <c r="D36" s="7">
        <v>695</v>
      </c>
      <c r="E36" s="9">
        <v>16.2559</v>
      </c>
      <c r="F36" s="9">
        <v>30.709800000000001</v>
      </c>
      <c r="G36" s="10">
        <v>3.74124404998453E-5</v>
      </c>
      <c r="H36" s="7" t="s">
        <v>45</v>
      </c>
      <c r="I36" s="9">
        <v>34.749099999999999</v>
      </c>
      <c r="J36" s="9">
        <v>34.747799999999998</v>
      </c>
      <c r="K36" s="9">
        <v>34.472999999999999</v>
      </c>
    </row>
    <row r="37" spans="1:11">
      <c r="A37" s="7">
        <v>36</v>
      </c>
      <c r="B37" s="7">
        <v>44</v>
      </c>
      <c r="C37" s="9">
        <v>34.902649999999902</v>
      </c>
      <c r="D37" s="7">
        <v>567</v>
      </c>
      <c r="E37" s="9">
        <v>14.15765</v>
      </c>
      <c r="F37" s="9">
        <v>31.902249999999999</v>
      </c>
      <c r="G37" s="10">
        <v>4.9578724135950999E-4</v>
      </c>
      <c r="H37" s="7" t="s">
        <v>45</v>
      </c>
      <c r="I37" s="9">
        <v>34.911299999999997</v>
      </c>
      <c r="J37" s="9">
        <v>34.893999999999998</v>
      </c>
      <c r="K37" s="9">
        <v>95.546599999999998</v>
      </c>
    </row>
    <row r="38" spans="1:11">
      <c r="A38" s="7">
        <v>37</v>
      </c>
      <c r="B38" s="7">
        <v>31</v>
      </c>
      <c r="C38" s="9">
        <v>34.9345</v>
      </c>
      <c r="D38" s="7">
        <v>549</v>
      </c>
      <c r="E38" s="9">
        <v>15.194949999999899</v>
      </c>
      <c r="F38" s="9">
        <v>31.455100000000002</v>
      </c>
      <c r="G38" s="10">
        <v>1.9656047816345901E-3</v>
      </c>
      <c r="H38" s="7" t="s">
        <v>50</v>
      </c>
      <c r="I38" s="9">
        <v>34.900199999999998</v>
      </c>
      <c r="J38" s="9">
        <v>29.680099999999999</v>
      </c>
      <c r="K38" s="9">
        <v>34.968800000000002</v>
      </c>
    </row>
    <row r="39" spans="1:11">
      <c r="A39" s="7">
        <v>38</v>
      </c>
      <c r="B39" s="7">
        <v>41</v>
      </c>
      <c r="C39" s="9">
        <v>34.959999999999901</v>
      </c>
      <c r="D39" s="7">
        <v>542</v>
      </c>
      <c r="E39" s="9">
        <v>17.516549999999999</v>
      </c>
      <c r="F39" s="9">
        <v>30.252299999999899</v>
      </c>
      <c r="G39" s="10">
        <v>7.2458359409539397E-3</v>
      </c>
      <c r="H39" s="7" t="s">
        <v>47</v>
      </c>
      <c r="I39" s="9">
        <v>31.0471</v>
      </c>
      <c r="J39" s="9">
        <v>35.086199999999998</v>
      </c>
      <c r="K39" s="9">
        <v>34.833799999999997</v>
      </c>
    </row>
    <row r="40" spans="1:11">
      <c r="A40" s="7">
        <v>39</v>
      </c>
      <c r="B40" s="7">
        <v>43</v>
      </c>
      <c r="C40" s="9">
        <v>35.004599999999897</v>
      </c>
      <c r="D40" s="7">
        <v>540</v>
      </c>
      <c r="E40" s="9">
        <v>16.975850000000001</v>
      </c>
      <c r="F40" s="9">
        <v>30.612649999999999</v>
      </c>
      <c r="G40" s="10">
        <v>2.4780051017751999E-2</v>
      </c>
      <c r="H40" s="7" t="s">
        <v>47</v>
      </c>
      <c r="I40" s="9">
        <v>30.1494</v>
      </c>
      <c r="J40" s="9">
        <v>35.433</v>
      </c>
      <c r="K40" s="9">
        <v>34.5762</v>
      </c>
    </row>
    <row r="41" spans="1:11">
      <c r="A41" s="7">
        <v>40</v>
      </c>
      <c r="B41" s="7">
        <v>24</v>
      </c>
      <c r="C41" s="9">
        <v>35.140749999999997</v>
      </c>
      <c r="D41" s="7">
        <v>711</v>
      </c>
      <c r="E41" s="9">
        <v>15.916699999999899</v>
      </c>
      <c r="F41" s="9">
        <v>31.329249999999998</v>
      </c>
      <c r="G41" s="10">
        <v>2.51020751238732E-3</v>
      </c>
      <c r="H41" s="7" t="s">
        <v>45</v>
      </c>
      <c r="I41" s="9">
        <v>35.096699999999998</v>
      </c>
      <c r="J41" s="9">
        <v>35.184800000000003</v>
      </c>
      <c r="K41" s="9">
        <v>34.641800000000003</v>
      </c>
    </row>
    <row r="42" spans="1:11">
      <c r="A42" s="7">
        <v>41</v>
      </c>
      <c r="B42" s="7">
        <v>27</v>
      </c>
      <c r="C42" s="9">
        <v>35.2866</v>
      </c>
      <c r="D42" s="7">
        <v>555</v>
      </c>
      <c r="E42" s="9">
        <v>15.185600000000001</v>
      </c>
      <c r="F42" s="9">
        <v>31.851800000000001</v>
      </c>
      <c r="G42" s="10">
        <v>4.7325108725603101E-3</v>
      </c>
      <c r="H42" s="7" t="s">
        <v>47</v>
      </c>
      <c r="I42" s="9">
        <v>30.335999999999999</v>
      </c>
      <c r="J42" s="9">
        <v>35.203299999999999</v>
      </c>
      <c r="K42" s="9">
        <v>35.369900000000001</v>
      </c>
    </row>
    <row r="43" spans="1:11">
      <c r="A43" s="7">
        <v>42</v>
      </c>
      <c r="B43" s="7">
        <v>40</v>
      </c>
      <c r="C43" s="9">
        <v>35.390099999999997</v>
      </c>
      <c r="D43" s="7">
        <v>706</v>
      </c>
      <c r="E43" s="9">
        <v>15.8993</v>
      </c>
      <c r="F43" s="9">
        <v>31.616499999999998</v>
      </c>
      <c r="G43" s="10">
        <v>5.05937542491943E-3</v>
      </c>
      <c r="H43" s="7" t="s">
        <v>50</v>
      </c>
      <c r="I43" s="9">
        <v>35.300800000000002</v>
      </c>
      <c r="J43" s="9">
        <v>35.1</v>
      </c>
      <c r="K43" s="9">
        <v>35.479399999999998</v>
      </c>
    </row>
    <row r="44" spans="1:11">
      <c r="A44" s="7">
        <v>43</v>
      </c>
      <c r="B44" s="7">
        <v>36</v>
      </c>
      <c r="C44" s="9">
        <v>35.440249999999999</v>
      </c>
      <c r="D44" s="7">
        <v>728</v>
      </c>
      <c r="E44" s="9">
        <v>15.36585</v>
      </c>
      <c r="F44" s="9">
        <v>31.935549999999999</v>
      </c>
      <c r="G44" s="10">
        <v>1.7536618828311399E-2</v>
      </c>
      <c r="H44" s="7" t="s">
        <v>47</v>
      </c>
      <c r="I44" s="9">
        <v>36.988799999999998</v>
      </c>
      <c r="J44" s="9">
        <v>35.7483</v>
      </c>
      <c r="K44" s="9">
        <v>35.132199999999997</v>
      </c>
    </row>
    <row r="45" spans="1:11">
      <c r="A45" s="7">
        <v>44</v>
      </c>
      <c r="B45" s="7">
        <v>60</v>
      </c>
      <c r="C45" s="9">
        <v>35.487650000000002</v>
      </c>
      <c r="D45" s="7">
        <v>564</v>
      </c>
      <c r="E45" s="9">
        <v>15.535600000000001</v>
      </c>
      <c r="F45" s="9">
        <v>31.90325</v>
      </c>
      <c r="G45" s="10">
        <v>8.0264133220921009E-3</v>
      </c>
      <c r="H45" s="7" t="s">
        <v>50</v>
      </c>
      <c r="I45" s="9">
        <v>35.345799999999997</v>
      </c>
      <c r="J45" s="9">
        <v>34.514899999999997</v>
      </c>
      <c r="K45" s="9">
        <v>35.6295</v>
      </c>
    </row>
    <row r="46" spans="1:11">
      <c r="A46" s="7">
        <v>45</v>
      </c>
      <c r="B46" s="7">
        <v>9</v>
      </c>
      <c r="C46" s="9">
        <v>35.656099999999903</v>
      </c>
      <c r="D46" s="7">
        <v>591</v>
      </c>
      <c r="E46" s="9">
        <v>14.1871499999999</v>
      </c>
      <c r="F46" s="9">
        <v>32.7117</v>
      </c>
      <c r="G46" s="10">
        <v>1.1905735912721401E-2</v>
      </c>
      <c r="H46" s="7" t="s">
        <v>50</v>
      </c>
      <c r="I46" s="9">
        <v>35.867100000000001</v>
      </c>
      <c r="J46" s="9">
        <v>34.734900000000003</v>
      </c>
      <c r="K46" s="9">
        <v>35.445099999999996</v>
      </c>
    </row>
    <row r="47" spans="1:11">
      <c r="A47" s="7">
        <v>46</v>
      </c>
      <c r="B47" s="7">
        <v>46</v>
      </c>
      <c r="C47" s="9">
        <v>35.771249999999903</v>
      </c>
      <c r="D47" s="7">
        <v>716</v>
      </c>
      <c r="E47" s="9">
        <v>15.7637499999999</v>
      </c>
      <c r="F47" s="9">
        <v>32.105849999999997</v>
      </c>
      <c r="G47" s="10">
        <v>8.9492557263161892E-3</v>
      </c>
      <c r="H47" s="7" t="s">
        <v>45</v>
      </c>
      <c r="I47" s="9">
        <v>35.611899999999999</v>
      </c>
      <c r="J47" s="9">
        <v>35.930599999999998</v>
      </c>
      <c r="K47" s="9">
        <v>34.7151</v>
      </c>
    </row>
    <row r="48" spans="1:11">
      <c r="A48" s="7">
        <v>47</v>
      </c>
      <c r="B48" s="7">
        <v>16</v>
      </c>
      <c r="C48" s="9">
        <v>35.799349999999997</v>
      </c>
      <c r="D48" s="7">
        <v>750</v>
      </c>
      <c r="E48" s="9">
        <v>15.587</v>
      </c>
      <c r="F48" s="9">
        <v>32.226799999999997</v>
      </c>
      <c r="G48" s="10">
        <v>5.3804550279667003E-3</v>
      </c>
      <c r="H48" s="7" t="s">
        <v>47</v>
      </c>
      <c r="I48" s="9">
        <v>36.428899999999999</v>
      </c>
      <c r="J48" s="9">
        <v>35.703299999999999</v>
      </c>
      <c r="K48" s="9">
        <v>35.895400000000002</v>
      </c>
    </row>
    <row r="49" spans="1:11">
      <c r="A49" s="7">
        <v>48</v>
      </c>
      <c r="B49" s="7">
        <v>11</v>
      </c>
      <c r="C49" s="9">
        <v>35.955199999999998</v>
      </c>
      <c r="D49" s="7">
        <v>735</v>
      </c>
      <c r="E49" s="9">
        <v>15.7441</v>
      </c>
      <c r="F49" s="9">
        <v>32.324550000000002</v>
      </c>
      <c r="G49" s="10">
        <v>6.9661516477628202E-3</v>
      </c>
      <c r="H49" s="7" t="s">
        <v>47</v>
      </c>
      <c r="I49" s="9">
        <v>36.904899999999998</v>
      </c>
      <c r="J49" s="9">
        <v>35.830399999999997</v>
      </c>
      <c r="K49" s="9">
        <v>36.08</v>
      </c>
    </row>
    <row r="50" spans="1:11">
      <c r="A50" s="7">
        <v>49</v>
      </c>
      <c r="B50" s="7">
        <v>55</v>
      </c>
      <c r="C50" s="9">
        <v>36.105999999999902</v>
      </c>
      <c r="D50" s="7">
        <v>595</v>
      </c>
      <c r="E50" s="9">
        <v>14.961499999999999</v>
      </c>
      <c r="F50" s="9">
        <v>32.859949999999998</v>
      </c>
      <c r="G50" s="10">
        <v>9.9198949003278993E-3</v>
      </c>
      <c r="H50" s="7" t="s">
        <v>47</v>
      </c>
      <c r="I50" s="9">
        <v>33.2303</v>
      </c>
      <c r="J50" s="9">
        <v>35.927799999999998</v>
      </c>
      <c r="K50" s="9">
        <v>36.284199999999998</v>
      </c>
    </row>
    <row r="51" spans="1:11">
      <c r="A51" s="7">
        <v>50</v>
      </c>
      <c r="B51" s="7">
        <v>13</v>
      </c>
      <c r="C51" s="9">
        <v>36.113799999999998</v>
      </c>
      <c r="D51" s="7">
        <v>722</v>
      </c>
      <c r="E51" s="9">
        <v>16.09085</v>
      </c>
      <c r="F51" s="9">
        <v>32.3294</v>
      </c>
      <c r="G51" s="10">
        <v>4.5459717639092503E-3</v>
      </c>
      <c r="H51" s="7" t="s">
        <v>50</v>
      </c>
      <c r="I51" s="9">
        <v>36.0319</v>
      </c>
      <c r="J51" s="9">
        <v>36.639000000000003</v>
      </c>
      <c r="K51" s="9">
        <v>36.195700000000002</v>
      </c>
    </row>
    <row r="52" spans="1:11">
      <c r="A52" s="7">
        <v>51</v>
      </c>
      <c r="B52" s="7">
        <v>29</v>
      </c>
      <c r="C52" s="9">
        <v>36.296250000000001</v>
      </c>
      <c r="D52" s="7">
        <v>742</v>
      </c>
      <c r="E52" s="9">
        <v>15.930249999999999</v>
      </c>
      <c r="F52" s="9">
        <v>32.613250000000001</v>
      </c>
      <c r="G52" s="10">
        <v>1.6075175572351399E-3</v>
      </c>
      <c r="H52" s="7" t="s">
        <v>47</v>
      </c>
      <c r="I52" s="9">
        <v>35.756700000000002</v>
      </c>
      <c r="J52" s="9">
        <v>36.267099999999999</v>
      </c>
      <c r="K52" s="9">
        <v>36.325400000000002</v>
      </c>
    </row>
    <row r="53" spans="1:11">
      <c r="A53" s="7">
        <v>52</v>
      </c>
      <c r="B53" s="7">
        <v>59</v>
      </c>
      <c r="C53" s="9">
        <v>36.470100000000002</v>
      </c>
      <c r="D53" s="7">
        <v>719</v>
      </c>
      <c r="E53" s="9">
        <v>15.65225</v>
      </c>
      <c r="F53" s="9">
        <v>32.936250000000001</v>
      </c>
      <c r="G53" s="10">
        <v>1.8083572889027701E-2</v>
      </c>
      <c r="H53" s="7" t="s">
        <v>47</v>
      </c>
      <c r="I53" s="9">
        <v>35.186199999999999</v>
      </c>
      <c r="J53" s="9">
        <v>36.143300000000004</v>
      </c>
      <c r="K53" s="9">
        <v>36.796900000000001</v>
      </c>
    </row>
    <row r="54" spans="1:11">
      <c r="A54" s="7">
        <v>53</v>
      </c>
      <c r="B54" s="7">
        <v>30</v>
      </c>
      <c r="C54" s="9">
        <v>36.534549999999903</v>
      </c>
      <c r="D54" s="7">
        <v>598</v>
      </c>
      <c r="E54" s="9">
        <v>14.9737499999999</v>
      </c>
      <c r="F54" s="9">
        <v>33.32385</v>
      </c>
      <c r="G54" s="10">
        <v>5.0102120716004502E-4</v>
      </c>
      <c r="H54" s="7" t="s">
        <v>47</v>
      </c>
      <c r="I54" s="9">
        <v>36.610599999999998</v>
      </c>
      <c r="J54" s="9">
        <v>36.543700000000001</v>
      </c>
      <c r="K54" s="9">
        <v>36.525399999999998</v>
      </c>
    </row>
    <row r="55" spans="1:11">
      <c r="A55" s="7">
        <v>54</v>
      </c>
      <c r="B55" s="7">
        <v>54</v>
      </c>
      <c r="C55" s="9">
        <v>36.67895</v>
      </c>
      <c r="D55" s="7">
        <v>746</v>
      </c>
      <c r="E55" s="9">
        <v>16.051850000000002</v>
      </c>
      <c r="F55" s="9">
        <v>32.979999999999997</v>
      </c>
      <c r="G55" s="10">
        <v>3.3344347982817999E-3</v>
      </c>
      <c r="H55" s="7" t="s">
        <v>45</v>
      </c>
      <c r="I55" s="9">
        <v>36.74</v>
      </c>
      <c r="J55" s="9">
        <v>36.617899999999999</v>
      </c>
      <c r="K55" s="9">
        <v>36.277799999999999</v>
      </c>
    </row>
    <row r="56" spans="1:11">
      <c r="A56" s="7">
        <v>55</v>
      </c>
      <c r="B56" s="7">
        <v>25</v>
      </c>
      <c r="C56" s="9">
        <v>36.939900000000002</v>
      </c>
      <c r="D56" s="7">
        <v>612</v>
      </c>
      <c r="E56" s="9">
        <v>15.766450000000001</v>
      </c>
      <c r="F56" s="9">
        <v>33.406099999999903</v>
      </c>
      <c r="G56" s="10">
        <v>7.1887327617122902E-3</v>
      </c>
      <c r="H56" s="7" t="s">
        <v>47</v>
      </c>
      <c r="I56" s="9">
        <v>30.4452</v>
      </c>
      <c r="J56" s="9">
        <v>37.072200000000002</v>
      </c>
      <c r="K56" s="9">
        <v>36.807600000000001</v>
      </c>
    </row>
    <row r="57" spans="1:11">
      <c r="A57" s="7">
        <v>56</v>
      </c>
      <c r="B57" s="7">
        <v>14</v>
      </c>
      <c r="C57" s="9">
        <v>36.991599999999998</v>
      </c>
      <c r="D57" s="7">
        <v>604</v>
      </c>
      <c r="E57" s="9">
        <v>15.808999999999999</v>
      </c>
      <c r="F57" s="9">
        <v>33.443249999999999</v>
      </c>
      <c r="G57" s="10">
        <v>3.1950092871880602E-3</v>
      </c>
      <c r="H57" s="7" t="s">
        <v>47</v>
      </c>
      <c r="I57" s="9">
        <v>32.5901</v>
      </c>
      <c r="J57" s="9">
        <v>36.932600000000001</v>
      </c>
      <c r="K57" s="9">
        <v>37.050600000000003</v>
      </c>
    </row>
    <row r="58" spans="1:11">
      <c r="A58" s="7">
        <v>57</v>
      </c>
      <c r="B58" s="7">
        <v>6</v>
      </c>
      <c r="C58" s="9">
        <v>42.854999999999997</v>
      </c>
      <c r="D58" s="7">
        <v>572</v>
      </c>
      <c r="E58" s="9">
        <v>14.112</v>
      </c>
      <c r="F58" s="9">
        <v>40.46255</v>
      </c>
      <c r="G58" s="10">
        <v>6.5176796578519505E-2</v>
      </c>
      <c r="H58" s="7" t="s">
        <v>50</v>
      </c>
      <c r="I58" s="9">
        <v>41.502499999999998</v>
      </c>
      <c r="J58" s="9">
        <v>90.8262</v>
      </c>
      <c r="K58" s="9">
        <v>44.207500000000003</v>
      </c>
    </row>
    <row r="59" spans="1:11">
      <c r="A59" s="7">
        <v>58</v>
      </c>
      <c r="B59" s="7">
        <v>37</v>
      </c>
      <c r="C59" s="9">
        <v>43.626049999999999</v>
      </c>
      <c r="D59" s="7">
        <v>586</v>
      </c>
      <c r="E59" s="9">
        <v>14.370749999999999</v>
      </c>
      <c r="F59" s="9">
        <v>41.190449999999998</v>
      </c>
      <c r="G59" s="10">
        <v>1.0618559774694301E-3</v>
      </c>
      <c r="H59" s="7" t="s">
        <v>47</v>
      </c>
      <c r="I59" s="9">
        <v>34.854700000000001</v>
      </c>
      <c r="J59" s="9">
        <v>43.6492</v>
      </c>
      <c r="K59" s="9">
        <v>43.602899999999998</v>
      </c>
    </row>
    <row r="60" spans="1:11">
      <c r="A60" s="7">
        <v>59</v>
      </c>
      <c r="B60" s="7">
        <v>20</v>
      </c>
      <c r="C60" s="9">
        <v>45.274699999999903</v>
      </c>
      <c r="D60" s="7">
        <v>581</v>
      </c>
      <c r="E60" s="9">
        <v>14.18065</v>
      </c>
      <c r="F60" s="9">
        <v>42.987749999999998</v>
      </c>
      <c r="G60" s="10">
        <v>1.6039363679880701E-2</v>
      </c>
      <c r="H60" s="7" t="s">
        <v>45</v>
      </c>
      <c r="I60" s="9">
        <v>44.914499999999997</v>
      </c>
      <c r="J60" s="9">
        <v>45.634900000000002</v>
      </c>
      <c r="K60" s="9">
        <v>35.044400000000003</v>
      </c>
    </row>
    <row r="61" spans="1:11">
      <c r="A61" s="7">
        <v>60</v>
      </c>
      <c r="B61" s="7">
        <v>49</v>
      </c>
      <c r="C61" s="9">
        <v>94.415649999999999</v>
      </c>
      <c r="D61" s="7">
        <v>576</v>
      </c>
      <c r="E61" s="9">
        <v>14.346399999999999</v>
      </c>
      <c r="F61" s="9">
        <v>93.319299999999998</v>
      </c>
      <c r="G61" s="10">
        <v>1.5529170162304399E-2</v>
      </c>
      <c r="H61" s="7" t="s">
        <v>47</v>
      </c>
      <c r="I61" s="9">
        <v>47.7896</v>
      </c>
      <c r="J61" s="9">
        <v>93.688199999999995</v>
      </c>
      <c r="K61" s="9">
        <v>95.143100000000004</v>
      </c>
    </row>
  </sheetData>
  <autoFilter ref="A1:K1" xr:uid="{2A3BB16D-4244-469C-9AF1-C94604DA4D34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C95A-826F-4361-A3B1-DD4761912A7A}">
  <dimension ref="A1:T61"/>
  <sheetViews>
    <sheetView showGridLines="0" workbookViewId="0">
      <pane ySplit="1" topLeftCell="A2" activePane="bottomLeft" state="frozenSplit"/>
      <selection pane="bottomLeft"/>
    </sheetView>
  </sheetViews>
  <sheetFormatPr defaultRowHeight="13.9"/>
  <cols>
    <col min="1" max="1" width="9.19921875" style="1" bestFit="1" customWidth="1"/>
    <col min="2" max="2" width="12.3984375" style="1" bestFit="1" customWidth="1"/>
    <col min="3" max="3" width="11.796875" style="1" bestFit="1" customWidth="1"/>
    <col min="4" max="4" width="11.19921875" style="1" bestFit="1" customWidth="1"/>
    <col min="5" max="5" width="11.46484375" style="1" bestFit="1" customWidth="1"/>
    <col min="6" max="6" width="10.265625" style="1" bestFit="1" customWidth="1"/>
    <col min="7" max="7" width="16.6640625" style="1" bestFit="1" customWidth="1"/>
    <col min="8" max="8" width="16.06640625" style="1" bestFit="1" customWidth="1"/>
    <col min="9" max="9" width="15.3984375" style="1" bestFit="1" customWidth="1"/>
    <col min="10" max="10" width="15.6640625" style="1" bestFit="1" customWidth="1"/>
    <col min="11" max="11" width="14.3984375" style="1" bestFit="1" customWidth="1"/>
    <col min="12" max="14" width="16.6640625" style="1" bestFit="1" customWidth="1"/>
    <col min="15" max="15" width="12.796875" style="1" bestFit="1" customWidth="1"/>
    <col min="16" max="16" width="16.53125" style="1" bestFit="1" customWidth="1"/>
    <col min="17" max="17" width="14.53125" style="1" bestFit="1" customWidth="1"/>
    <col min="18" max="19" width="7.9296875" style="1" bestFit="1" customWidth="1"/>
    <col min="20" max="20" width="50.59765625" style="1" customWidth="1"/>
    <col min="21" max="16384" width="9.06640625" style="1"/>
  </cols>
  <sheetData>
    <row r="1" spans="1:20" ht="14.65">
      <c r="A1" s="6" t="s">
        <v>30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37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6" t="s">
        <v>44</v>
      </c>
    </row>
    <row r="2" spans="1:20">
      <c r="A2" s="7">
        <v>1</v>
      </c>
      <c r="B2" s="9">
        <v>100</v>
      </c>
      <c r="C2" s="9">
        <v>80</v>
      </c>
      <c r="D2" s="9">
        <v>505</v>
      </c>
      <c r="E2" s="9">
        <v>200</v>
      </c>
      <c r="F2" s="9">
        <v>0.45</v>
      </c>
      <c r="G2" s="9">
        <v>99.721217669947293</v>
      </c>
      <c r="H2" s="9">
        <v>80.556191348134504</v>
      </c>
      <c r="I2" s="9">
        <v>509.15750915750903</v>
      </c>
      <c r="J2" s="9">
        <v>57.862211032272803</v>
      </c>
      <c r="K2" s="9">
        <v>0.451934081025406</v>
      </c>
      <c r="L2" s="9">
        <v>34.073500000000003</v>
      </c>
      <c r="M2" s="9">
        <v>34.110999999999997</v>
      </c>
      <c r="N2" s="9">
        <v>34.8553</v>
      </c>
      <c r="O2" s="7" t="s">
        <v>45</v>
      </c>
      <c r="P2" s="10">
        <v>1.1005620203382101E-3</v>
      </c>
      <c r="Q2" s="9">
        <v>34.09225</v>
      </c>
      <c r="R2" s="9">
        <v>23.026199999999999</v>
      </c>
      <c r="S2" s="9">
        <v>25.13175</v>
      </c>
      <c r="T2" s="7" t="s">
        <v>46</v>
      </c>
    </row>
    <row r="3" spans="1:20">
      <c r="A3" s="7">
        <v>2</v>
      </c>
      <c r="B3" s="9">
        <v>100</v>
      </c>
      <c r="C3" s="9">
        <v>80</v>
      </c>
      <c r="D3" s="9">
        <v>547</v>
      </c>
      <c r="E3" s="9">
        <v>200</v>
      </c>
      <c r="F3" s="9">
        <v>0.45</v>
      </c>
      <c r="G3" s="9">
        <v>99.721217669947293</v>
      </c>
      <c r="H3" s="9">
        <v>80.567635614557105</v>
      </c>
      <c r="I3" s="9">
        <v>550.67155067154999</v>
      </c>
      <c r="J3" s="9">
        <v>63.561455710688897</v>
      </c>
      <c r="K3" s="9">
        <v>0.45190547035934903</v>
      </c>
      <c r="L3" s="9">
        <v>29.428999999999998</v>
      </c>
      <c r="M3" s="9">
        <v>30.281199999999998</v>
      </c>
      <c r="N3" s="9">
        <v>30.967600000000001</v>
      </c>
      <c r="O3" s="7" t="s">
        <v>47</v>
      </c>
      <c r="P3" s="10">
        <v>2.2667529688387599E-2</v>
      </c>
      <c r="Q3" s="9">
        <v>30.624400000000001</v>
      </c>
      <c r="R3" s="9">
        <v>16.974550000000001</v>
      </c>
      <c r="S3" s="9">
        <v>25.488050000000001</v>
      </c>
      <c r="T3" s="7" t="s">
        <v>48</v>
      </c>
    </row>
    <row r="4" spans="1:20">
      <c r="A4" s="7">
        <v>3</v>
      </c>
      <c r="B4" s="9">
        <v>100</v>
      </c>
      <c r="C4" s="9">
        <v>80</v>
      </c>
      <c r="D4" s="9">
        <v>522</v>
      </c>
      <c r="E4" s="9">
        <v>200</v>
      </c>
      <c r="F4" s="9">
        <v>0.45</v>
      </c>
      <c r="G4" s="9">
        <v>99.721217669947293</v>
      </c>
      <c r="H4" s="9">
        <v>80.556191348134504</v>
      </c>
      <c r="I4" s="9">
        <v>526.251526251526</v>
      </c>
      <c r="J4" s="9">
        <v>60.131990539406402</v>
      </c>
      <c r="K4" s="9">
        <v>0.45190547035934903</v>
      </c>
      <c r="L4" s="9">
        <v>34.501399999999997</v>
      </c>
      <c r="M4" s="9">
        <v>34.609299999999998</v>
      </c>
      <c r="N4" s="9">
        <v>30.952500000000001</v>
      </c>
      <c r="O4" s="7" t="s">
        <v>45</v>
      </c>
      <c r="P4" s="10">
        <v>3.1274093225202599E-3</v>
      </c>
      <c r="Q4" s="9">
        <v>34.555349999999997</v>
      </c>
      <c r="R4" s="9">
        <v>21.035350000000001</v>
      </c>
      <c r="S4" s="9">
        <v>27.414850000000001</v>
      </c>
      <c r="T4" s="7" t="s">
        <v>49</v>
      </c>
    </row>
    <row r="5" spans="1:20">
      <c r="A5" s="7">
        <v>4</v>
      </c>
      <c r="B5" s="9">
        <v>100</v>
      </c>
      <c r="C5" s="9">
        <v>80</v>
      </c>
      <c r="D5" s="9">
        <v>620</v>
      </c>
      <c r="E5" s="9">
        <v>200</v>
      </c>
      <c r="F5" s="9">
        <v>0.45</v>
      </c>
      <c r="G5" s="9">
        <v>99.721217669947293</v>
      </c>
      <c r="H5" s="9">
        <v>80.556191348134504</v>
      </c>
      <c r="I5" s="9">
        <v>623.93162393162299</v>
      </c>
      <c r="J5" s="9">
        <v>73.651483939879398</v>
      </c>
      <c r="K5" s="9">
        <v>0.45190547035934903</v>
      </c>
      <c r="L5" s="9">
        <v>31.6919</v>
      </c>
      <c r="M5" s="9">
        <v>31.353100000000001</v>
      </c>
      <c r="N5" s="9">
        <v>31.9757</v>
      </c>
      <c r="O5" s="7" t="s">
        <v>50</v>
      </c>
      <c r="P5" s="10">
        <v>8.9549695663560507E-3</v>
      </c>
      <c r="Q5" s="9">
        <v>31.8338</v>
      </c>
      <c r="R5" s="9">
        <v>17.00705</v>
      </c>
      <c r="S5" s="9">
        <v>26.908049999999999</v>
      </c>
      <c r="T5" s="7" t="s">
        <v>51</v>
      </c>
    </row>
    <row r="6" spans="1:20">
      <c r="A6" s="7">
        <v>5</v>
      </c>
      <c r="B6" s="9">
        <v>100</v>
      </c>
      <c r="C6" s="9">
        <v>80</v>
      </c>
      <c r="D6" s="9">
        <v>561</v>
      </c>
      <c r="E6" s="9">
        <v>200</v>
      </c>
      <c r="F6" s="9">
        <v>0.45</v>
      </c>
      <c r="G6" s="9">
        <v>99.721217669947293</v>
      </c>
      <c r="H6" s="9">
        <v>80.544747081712003</v>
      </c>
      <c r="I6" s="9">
        <v>564.713064713064</v>
      </c>
      <c r="J6" s="9">
        <v>65.476462958724298</v>
      </c>
      <c r="K6" s="9">
        <v>0.45190547035934903</v>
      </c>
      <c r="L6" s="9">
        <v>34.7136</v>
      </c>
      <c r="M6" s="9">
        <v>34.509599999999999</v>
      </c>
      <c r="N6" s="9">
        <v>34.689700000000002</v>
      </c>
      <c r="O6" s="7" t="s">
        <v>50</v>
      </c>
      <c r="P6" s="10">
        <v>6.8896531247020199E-4</v>
      </c>
      <c r="Q6" s="9">
        <v>34.701650000000001</v>
      </c>
      <c r="R6" s="9">
        <v>15.287649999999999</v>
      </c>
      <c r="S6" s="9">
        <v>31.1525</v>
      </c>
      <c r="T6" s="7" t="s">
        <v>52</v>
      </c>
    </row>
    <row r="7" spans="1:20">
      <c r="A7" s="7">
        <v>6</v>
      </c>
      <c r="B7" s="9">
        <v>100</v>
      </c>
      <c r="C7" s="9">
        <v>80</v>
      </c>
      <c r="D7" s="9">
        <v>572</v>
      </c>
      <c r="E7" s="9">
        <v>200</v>
      </c>
      <c r="F7" s="9">
        <v>0.45</v>
      </c>
      <c r="G7" s="9">
        <v>99.721217669947293</v>
      </c>
      <c r="H7" s="9">
        <v>80.556191348134504</v>
      </c>
      <c r="I7" s="9">
        <v>575.70207570207504</v>
      </c>
      <c r="J7" s="9">
        <v>67.002365148393906</v>
      </c>
      <c r="K7" s="9">
        <v>0.45190547035934903</v>
      </c>
      <c r="L7" s="9">
        <v>41.502499999999998</v>
      </c>
      <c r="M7" s="9">
        <v>90.8262</v>
      </c>
      <c r="N7" s="9">
        <v>44.207500000000003</v>
      </c>
      <c r="O7" s="7" t="s">
        <v>50</v>
      </c>
      <c r="P7" s="10">
        <v>6.5176796578519505E-2</v>
      </c>
      <c r="Q7" s="9">
        <v>42.854999999999997</v>
      </c>
      <c r="R7" s="9">
        <v>14.112</v>
      </c>
      <c r="S7" s="9">
        <v>40.46255</v>
      </c>
      <c r="T7" s="7" t="s">
        <v>53</v>
      </c>
    </row>
    <row r="8" spans="1:20">
      <c r="A8" s="7">
        <v>7</v>
      </c>
      <c r="B8" s="9">
        <v>100</v>
      </c>
      <c r="C8" s="9">
        <v>80</v>
      </c>
      <c r="D8" s="9">
        <v>689</v>
      </c>
      <c r="E8" s="9">
        <v>200</v>
      </c>
      <c r="F8" s="9">
        <v>0.45</v>
      </c>
      <c r="G8" s="9">
        <v>99.721217669947293</v>
      </c>
      <c r="H8" s="9">
        <v>80.556191348134504</v>
      </c>
      <c r="I8" s="9">
        <v>693.528693528693</v>
      </c>
      <c r="J8" s="9">
        <v>83.485923552300207</v>
      </c>
      <c r="K8" s="9">
        <v>0.45190547035934903</v>
      </c>
      <c r="L8" s="9">
        <v>34.7119</v>
      </c>
      <c r="M8" s="9">
        <v>34.7363</v>
      </c>
      <c r="N8" s="9">
        <v>34.746299999999998</v>
      </c>
      <c r="O8" s="7" t="s">
        <v>47</v>
      </c>
      <c r="P8" s="10">
        <v>2.87883280602655E-4</v>
      </c>
      <c r="Q8" s="9">
        <v>34.741299999999903</v>
      </c>
      <c r="R8" s="9">
        <v>16.129049999999999</v>
      </c>
      <c r="S8" s="9">
        <v>30.770199999999999</v>
      </c>
      <c r="T8" s="7" t="s">
        <v>54</v>
      </c>
    </row>
    <row r="9" spans="1:20">
      <c r="A9" s="7">
        <v>8</v>
      </c>
      <c r="B9" s="9">
        <v>100</v>
      </c>
      <c r="C9" s="9">
        <v>80</v>
      </c>
      <c r="D9" s="9">
        <v>674</v>
      </c>
      <c r="E9" s="9">
        <v>200</v>
      </c>
      <c r="F9" s="9">
        <v>0.45</v>
      </c>
      <c r="G9" s="9">
        <v>99.721217669947293</v>
      </c>
      <c r="H9" s="9">
        <v>80.567635614557105</v>
      </c>
      <c r="I9" s="9">
        <v>678.87667887667806</v>
      </c>
      <c r="J9" s="9">
        <v>81.498435950255498</v>
      </c>
      <c r="K9" s="9">
        <v>0.45190547035934903</v>
      </c>
      <c r="L9" s="9">
        <v>34.526200000000003</v>
      </c>
      <c r="M9" s="9">
        <v>33.471499999999999</v>
      </c>
      <c r="N9" s="9">
        <v>33.741900000000001</v>
      </c>
      <c r="O9" s="7" t="s">
        <v>47</v>
      </c>
      <c r="P9" s="10">
        <v>8.0785145571606303E-3</v>
      </c>
      <c r="Q9" s="9">
        <v>33.606699999999996</v>
      </c>
      <c r="R9" s="9">
        <v>16.173500000000001</v>
      </c>
      <c r="S9" s="9">
        <v>29.458600000000001</v>
      </c>
      <c r="T9" s="7" t="s">
        <v>55</v>
      </c>
    </row>
    <row r="10" spans="1:20">
      <c r="A10" s="7">
        <v>9</v>
      </c>
      <c r="B10" s="9">
        <v>100</v>
      </c>
      <c r="C10" s="9">
        <v>80</v>
      </c>
      <c r="D10" s="9">
        <v>591</v>
      </c>
      <c r="E10" s="9">
        <v>200</v>
      </c>
      <c r="F10" s="9">
        <v>0.45</v>
      </c>
      <c r="G10" s="9">
        <v>99.721217669947293</v>
      </c>
      <c r="H10" s="9">
        <v>80.550469214923297</v>
      </c>
      <c r="I10" s="9">
        <v>595.23809523809496</v>
      </c>
      <c r="J10" s="9">
        <v>69.916838330662998</v>
      </c>
      <c r="K10" s="9">
        <v>0.451876859693293</v>
      </c>
      <c r="L10" s="9">
        <v>35.867100000000001</v>
      </c>
      <c r="M10" s="9">
        <v>34.734900000000003</v>
      </c>
      <c r="N10" s="9">
        <v>35.445099999999996</v>
      </c>
      <c r="O10" s="7" t="s">
        <v>50</v>
      </c>
      <c r="P10" s="10">
        <v>1.1905735912721401E-2</v>
      </c>
      <c r="Q10" s="9">
        <v>35.656099999999903</v>
      </c>
      <c r="R10" s="9">
        <v>14.1871499999999</v>
      </c>
      <c r="S10" s="9">
        <v>32.7117</v>
      </c>
      <c r="T10" s="7" t="s">
        <v>56</v>
      </c>
    </row>
    <row r="11" spans="1:20">
      <c r="A11" s="7">
        <v>10</v>
      </c>
      <c r="B11" s="9">
        <v>100</v>
      </c>
      <c r="C11" s="9">
        <v>80</v>
      </c>
      <c r="D11" s="9">
        <v>640</v>
      </c>
      <c r="E11" s="9">
        <v>200</v>
      </c>
      <c r="F11" s="9">
        <v>0.45</v>
      </c>
      <c r="G11" s="9">
        <v>99.721217669947293</v>
      </c>
      <c r="H11" s="9">
        <v>80.533302815289503</v>
      </c>
      <c r="I11" s="9">
        <v>644.68864468864399</v>
      </c>
      <c r="J11" s="9">
        <v>76.760509651331304</v>
      </c>
      <c r="K11" s="9">
        <v>0.45190547035934903</v>
      </c>
      <c r="L11" s="9">
        <v>32.108699999999999</v>
      </c>
      <c r="M11" s="9">
        <v>32.470300000000002</v>
      </c>
      <c r="N11" s="9">
        <v>32.669800000000002</v>
      </c>
      <c r="O11" s="7" t="s">
        <v>47</v>
      </c>
      <c r="P11" s="10">
        <v>6.1440762789379899E-3</v>
      </c>
      <c r="Q11" s="9">
        <v>32.570050000000002</v>
      </c>
      <c r="R11" s="9">
        <v>16.625399999999999</v>
      </c>
      <c r="S11" s="9">
        <v>28.006900000000002</v>
      </c>
      <c r="T11" s="7" t="s">
        <v>57</v>
      </c>
    </row>
    <row r="12" spans="1:20">
      <c r="A12" s="7">
        <v>11</v>
      </c>
      <c r="B12" s="9">
        <v>100</v>
      </c>
      <c r="C12" s="9">
        <v>80</v>
      </c>
      <c r="D12" s="9">
        <v>735</v>
      </c>
      <c r="E12" s="9">
        <v>200</v>
      </c>
      <c r="F12" s="9">
        <v>0.45</v>
      </c>
      <c r="G12" s="9">
        <v>99.721217669947293</v>
      </c>
      <c r="H12" s="9">
        <v>80.556191348134504</v>
      </c>
      <c r="I12" s="9">
        <v>739.31623931623903</v>
      </c>
      <c r="J12" s="9">
        <v>90.184634164949998</v>
      </c>
      <c r="K12" s="9">
        <v>0.45190547035934903</v>
      </c>
      <c r="L12" s="9">
        <v>36.904899999999998</v>
      </c>
      <c r="M12" s="9">
        <v>35.830399999999997</v>
      </c>
      <c r="N12" s="9">
        <v>36.08</v>
      </c>
      <c r="O12" s="7" t="s">
        <v>47</v>
      </c>
      <c r="P12" s="10">
        <v>6.9661516477628202E-3</v>
      </c>
      <c r="Q12" s="9">
        <v>35.955199999999998</v>
      </c>
      <c r="R12" s="9">
        <v>15.7441</v>
      </c>
      <c r="S12" s="9">
        <v>32.324550000000002</v>
      </c>
      <c r="T12" s="7" t="s">
        <v>58</v>
      </c>
    </row>
    <row r="13" spans="1:20">
      <c r="A13" s="7">
        <v>12</v>
      </c>
      <c r="B13" s="9">
        <v>100</v>
      </c>
      <c r="C13" s="9">
        <v>80</v>
      </c>
      <c r="D13" s="9">
        <v>660</v>
      </c>
      <c r="E13" s="9">
        <v>200</v>
      </c>
      <c r="F13" s="9">
        <v>0.45</v>
      </c>
      <c r="G13" s="9">
        <v>99.721217669947293</v>
      </c>
      <c r="H13" s="9">
        <v>80.579079880979606</v>
      </c>
      <c r="I13" s="9">
        <v>664.83516483516405</v>
      </c>
      <c r="J13" s="9">
        <v>79.774166475928894</v>
      </c>
      <c r="K13" s="9">
        <v>0.451934081025406</v>
      </c>
      <c r="L13" s="9">
        <v>34.399799999999999</v>
      </c>
      <c r="M13" s="9">
        <v>33.1706</v>
      </c>
      <c r="N13" s="9">
        <v>33.4863</v>
      </c>
      <c r="O13" s="7" t="s">
        <v>47</v>
      </c>
      <c r="P13" s="10">
        <v>9.5174642605198399E-3</v>
      </c>
      <c r="Q13" s="9">
        <v>33.328449999999997</v>
      </c>
      <c r="R13" s="9">
        <v>16.926449999999999</v>
      </c>
      <c r="S13" s="9">
        <v>28.70815</v>
      </c>
      <c r="T13" s="7" t="s">
        <v>59</v>
      </c>
    </row>
    <row r="14" spans="1:20">
      <c r="A14" s="7">
        <v>13</v>
      </c>
      <c r="B14" s="9">
        <v>100</v>
      </c>
      <c r="C14" s="9">
        <v>80</v>
      </c>
      <c r="D14" s="9">
        <v>722</v>
      </c>
      <c r="E14" s="9">
        <v>200</v>
      </c>
      <c r="F14" s="9">
        <v>0.45</v>
      </c>
      <c r="G14" s="9">
        <v>99.721217669947293</v>
      </c>
      <c r="H14" s="9">
        <v>80.550469214923297</v>
      </c>
      <c r="I14" s="9">
        <v>726.49572649572599</v>
      </c>
      <c r="J14" s="9">
        <v>88.536659800106804</v>
      </c>
      <c r="K14" s="9">
        <v>0.45190547035934903</v>
      </c>
      <c r="L14" s="9">
        <v>36.0319</v>
      </c>
      <c r="M14" s="9">
        <v>36.639000000000003</v>
      </c>
      <c r="N14" s="9">
        <v>36.195700000000002</v>
      </c>
      <c r="O14" s="7" t="s">
        <v>50</v>
      </c>
      <c r="P14" s="10">
        <v>4.5459717639092503E-3</v>
      </c>
      <c r="Q14" s="9">
        <v>36.113799999999998</v>
      </c>
      <c r="R14" s="9">
        <v>16.09085</v>
      </c>
      <c r="S14" s="9">
        <v>32.3294</v>
      </c>
      <c r="T14" s="7" t="s">
        <v>60</v>
      </c>
    </row>
    <row r="15" spans="1:20">
      <c r="A15" s="7">
        <v>14</v>
      </c>
      <c r="B15" s="9">
        <v>100</v>
      </c>
      <c r="C15" s="9">
        <v>80</v>
      </c>
      <c r="D15" s="9">
        <v>604</v>
      </c>
      <c r="E15" s="9">
        <v>200</v>
      </c>
      <c r="F15" s="9">
        <v>0.45</v>
      </c>
      <c r="G15" s="9">
        <v>99.721217669947293</v>
      </c>
      <c r="H15" s="9">
        <v>80.567635614557105</v>
      </c>
      <c r="I15" s="9">
        <v>608.058608058608</v>
      </c>
      <c r="J15" s="9">
        <v>71.9462882429236</v>
      </c>
      <c r="K15" s="9">
        <v>0.45190547035934903</v>
      </c>
      <c r="L15" s="9">
        <v>32.5901</v>
      </c>
      <c r="M15" s="9">
        <v>36.932600000000001</v>
      </c>
      <c r="N15" s="9">
        <v>37.050600000000003</v>
      </c>
      <c r="O15" s="7" t="s">
        <v>47</v>
      </c>
      <c r="P15" s="10">
        <v>3.1950092871880602E-3</v>
      </c>
      <c r="Q15" s="9">
        <v>36.991599999999998</v>
      </c>
      <c r="R15" s="9">
        <v>15.808999999999999</v>
      </c>
      <c r="S15" s="9">
        <v>33.443249999999999</v>
      </c>
      <c r="T15" s="7" t="s">
        <v>61</v>
      </c>
    </row>
    <row r="16" spans="1:20">
      <c r="A16" s="7">
        <v>15</v>
      </c>
      <c r="B16" s="9">
        <v>100</v>
      </c>
      <c r="C16" s="9">
        <v>80</v>
      </c>
      <c r="D16" s="9">
        <v>701</v>
      </c>
      <c r="E16" s="9">
        <v>200</v>
      </c>
      <c r="F16" s="9">
        <v>0.45</v>
      </c>
      <c r="G16" s="9">
        <v>99.721217669947293</v>
      </c>
      <c r="H16" s="9">
        <v>80.561913481345798</v>
      </c>
      <c r="I16" s="9">
        <v>705.73870573870499</v>
      </c>
      <c r="J16" s="9">
        <v>85.633630884260299</v>
      </c>
      <c r="K16" s="9">
        <v>0.45190547035934903</v>
      </c>
      <c r="L16" s="9">
        <v>35.0137</v>
      </c>
      <c r="M16" s="9">
        <v>34.742100000000001</v>
      </c>
      <c r="N16" s="9">
        <v>34.558700000000002</v>
      </c>
      <c r="O16" s="7" t="s">
        <v>47</v>
      </c>
      <c r="P16" s="10">
        <v>5.3069125864109098E-3</v>
      </c>
      <c r="Q16" s="9">
        <v>34.650399999999998</v>
      </c>
      <c r="R16" s="9">
        <v>15.616</v>
      </c>
      <c r="S16" s="9">
        <v>30.9313</v>
      </c>
      <c r="T16" s="7" t="s">
        <v>62</v>
      </c>
    </row>
    <row r="17" spans="1:20">
      <c r="A17" s="7">
        <v>16</v>
      </c>
      <c r="B17" s="9">
        <v>100</v>
      </c>
      <c r="C17" s="9">
        <v>80</v>
      </c>
      <c r="D17" s="9">
        <v>750</v>
      </c>
      <c r="E17" s="9">
        <v>200</v>
      </c>
      <c r="F17" s="9">
        <v>0.45</v>
      </c>
      <c r="G17" s="9">
        <v>99.721217669947293</v>
      </c>
      <c r="H17" s="9">
        <v>80.544747081712003</v>
      </c>
      <c r="I17" s="9">
        <v>754.578754578754</v>
      </c>
      <c r="J17" s="9">
        <v>92.626077668421402</v>
      </c>
      <c r="K17" s="9">
        <v>0.45190547035934903</v>
      </c>
      <c r="L17" s="9">
        <v>36.428899999999999</v>
      </c>
      <c r="M17" s="9">
        <v>35.703299999999999</v>
      </c>
      <c r="N17" s="9">
        <v>35.895400000000002</v>
      </c>
      <c r="O17" s="7" t="s">
        <v>47</v>
      </c>
      <c r="P17" s="10">
        <v>5.3804550279667003E-3</v>
      </c>
      <c r="Q17" s="9">
        <v>35.799349999999997</v>
      </c>
      <c r="R17" s="9">
        <v>15.587</v>
      </c>
      <c r="S17" s="9">
        <v>32.226799999999997</v>
      </c>
      <c r="T17" s="7" t="s">
        <v>63</v>
      </c>
    </row>
    <row r="18" spans="1:20">
      <c r="A18" s="7">
        <v>17</v>
      </c>
      <c r="B18" s="9">
        <v>100</v>
      </c>
      <c r="C18" s="9">
        <v>80</v>
      </c>
      <c r="D18" s="9">
        <v>535</v>
      </c>
      <c r="E18" s="9">
        <v>200</v>
      </c>
      <c r="F18" s="9">
        <v>0.45</v>
      </c>
      <c r="G18" s="9">
        <v>99.718242160677505</v>
      </c>
      <c r="H18" s="9">
        <v>80.527580682078195</v>
      </c>
      <c r="I18" s="9">
        <v>539.07203907203905</v>
      </c>
      <c r="J18" s="9">
        <v>62.458991378652598</v>
      </c>
      <c r="K18" s="9">
        <v>0.45190547035934903</v>
      </c>
      <c r="L18" s="9">
        <v>33.408900000000003</v>
      </c>
      <c r="M18" s="9">
        <v>33.94</v>
      </c>
      <c r="N18" s="9">
        <v>29.2957</v>
      </c>
      <c r="O18" s="7" t="s">
        <v>45</v>
      </c>
      <c r="P18" s="10">
        <v>1.58969615880796E-2</v>
      </c>
      <c r="Q18" s="9">
        <v>33.67445</v>
      </c>
      <c r="R18" s="9">
        <v>16.849</v>
      </c>
      <c r="S18" s="9">
        <v>29.155899999999999</v>
      </c>
      <c r="T18" s="7" t="s">
        <v>64</v>
      </c>
    </row>
    <row r="19" spans="1:20">
      <c r="A19" s="7">
        <v>18</v>
      </c>
      <c r="B19" s="9">
        <v>100</v>
      </c>
      <c r="C19" s="9">
        <v>80</v>
      </c>
      <c r="D19" s="9">
        <v>630</v>
      </c>
      <c r="E19" s="9">
        <v>200</v>
      </c>
      <c r="F19" s="9">
        <v>0.45</v>
      </c>
      <c r="G19" s="9">
        <v>99.718242160677505</v>
      </c>
      <c r="H19" s="9">
        <v>80.556191348134504</v>
      </c>
      <c r="I19" s="9">
        <v>634.310134310134</v>
      </c>
      <c r="J19" s="9">
        <v>75.589379720759894</v>
      </c>
      <c r="K19" s="9">
        <v>0.45190547035934903</v>
      </c>
      <c r="L19" s="9">
        <v>32.6496</v>
      </c>
      <c r="M19" s="9">
        <v>32.689100000000003</v>
      </c>
      <c r="N19" s="9">
        <v>31.996099999999998</v>
      </c>
      <c r="O19" s="7" t="s">
        <v>45</v>
      </c>
      <c r="P19" s="10">
        <v>1.2098157404686E-3</v>
      </c>
      <c r="Q19" s="9">
        <v>32.669350000000001</v>
      </c>
      <c r="R19" s="9">
        <v>17.715599999999998</v>
      </c>
      <c r="S19" s="9">
        <v>27.448599999999999</v>
      </c>
      <c r="T19" s="7" t="s">
        <v>65</v>
      </c>
    </row>
    <row r="20" spans="1:20">
      <c r="A20" s="7">
        <v>19</v>
      </c>
      <c r="B20" s="9">
        <v>100</v>
      </c>
      <c r="C20" s="9">
        <v>80</v>
      </c>
      <c r="D20" s="9">
        <v>651</v>
      </c>
      <c r="E20" s="9">
        <v>200</v>
      </c>
      <c r="F20" s="9">
        <v>0.45</v>
      </c>
      <c r="G20" s="9">
        <v>99.721217669947293</v>
      </c>
      <c r="H20" s="9">
        <v>80.527580682078195</v>
      </c>
      <c r="I20" s="9">
        <v>655.67765567765503</v>
      </c>
      <c r="J20" s="9">
        <v>78.572518501564005</v>
      </c>
      <c r="K20" s="9">
        <v>0.45190547035934903</v>
      </c>
      <c r="L20" s="9">
        <v>32.482700000000001</v>
      </c>
      <c r="M20" s="9">
        <v>32.413499999999999</v>
      </c>
      <c r="N20" s="9">
        <v>32.686</v>
      </c>
      <c r="O20" s="7" t="s">
        <v>45</v>
      </c>
      <c r="P20" s="10">
        <v>2.134912922085E-3</v>
      </c>
      <c r="Q20" s="9">
        <v>32.448099999999997</v>
      </c>
      <c r="R20" s="9">
        <v>16.209350000000001</v>
      </c>
      <c r="S20" s="9">
        <v>28.108550000000001</v>
      </c>
      <c r="T20" s="7" t="s">
        <v>66</v>
      </c>
    </row>
    <row r="21" spans="1:20">
      <c r="A21" s="7">
        <v>20</v>
      </c>
      <c r="B21" s="9">
        <v>100</v>
      </c>
      <c r="C21" s="9">
        <v>80</v>
      </c>
      <c r="D21" s="9">
        <v>581</v>
      </c>
      <c r="E21" s="9">
        <v>200</v>
      </c>
      <c r="F21" s="9">
        <v>0.45</v>
      </c>
      <c r="G21" s="9">
        <v>99.721217669947293</v>
      </c>
      <c r="H21" s="9">
        <v>80.550469214923297</v>
      </c>
      <c r="I21" s="9">
        <v>584.85958485958395</v>
      </c>
      <c r="J21" s="9">
        <v>68.741893644617306</v>
      </c>
      <c r="K21" s="9">
        <v>0.45190547035934903</v>
      </c>
      <c r="L21" s="9">
        <v>44.914499999999997</v>
      </c>
      <c r="M21" s="9">
        <v>45.634900000000002</v>
      </c>
      <c r="N21" s="9">
        <v>35.044400000000003</v>
      </c>
      <c r="O21" s="7" t="s">
        <v>45</v>
      </c>
      <c r="P21" s="10">
        <v>1.6039363679880701E-2</v>
      </c>
      <c r="Q21" s="9">
        <v>45.274699999999903</v>
      </c>
      <c r="R21" s="9">
        <v>14.18065</v>
      </c>
      <c r="S21" s="9">
        <v>42.987749999999998</v>
      </c>
      <c r="T21" s="7" t="s">
        <v>67</v>
      </c>
    </row>
    <row r="22" spans="1:20">
      <c r="A22" s="7">
        <v>21</v>
      </c>
      <c r="B22" s="9">
        <v>100</v>
      </c>
      <c r="C22" s="9">
        <v>80</v>
      </c>
      <c r="D22" s="9">
        <v>546</v>
      </c>
      <c r="E22" s="9">
        <v>200</v>
      </c>
      <c r="F22" s="9">
        <v>0.45</v>
      </c>
      <c r="G22" s="9">
        <v>99.721217669947293</v>
      </c>
      <c r="H22" s="9">
        <v>80.556191348134504</v>
      </c>
      <c r="I22" s="9">
        <v>550.06105006104997</v>
      </c>
      <c r="J22" s="9">
        <v>63.855191882200302</v>
      </c>
      <c r="K22" s="9">
        <v>0.45190547035934903</v>
      </c>
      <c r="L22" s="9">
        <v>30.7866</v>
      </c>
      <c r="M22" s="9">
        <v>34.555199999999999</v>
      </c>
      <c r="N22" s="9">
        <v>34.593600000000002</v>
      </c>
      <c r="O22" s="7" t="s">
        <v>47</v>
      </c>
      <c r="P22" s="10">
        <v>1.11126545353529E-3</v>
      </c>
      <c r="Q22" s="9">
        <v>34.574399999999997</v>
      </c>
      <c r="R22" s="9">
        <v>16.7178</v>
      </c>
      <c r="S22" s="9">
        <v>30.248649999999898</v>
      </c>
      <c r="T22" s="7" t="s">
        <v>68</v>
      </c>
    </row>
    <row r="23" spans="1:20">
      <c r="A23" s="7">
        <v>22</v>
      </c>
      <c r="B23" s="9">
        <v>100</v>
      </c>
      <c r="C23" s="9">
        <v>80</v>
      </c>
      <c r="D23" s="9">
        <v>548</v>
      </c>
      <c r="E23" s="9">
        <v>200</v>
      </c>
      <c r="F23" s="9">
        <v>0.45</v>
      </c>
      <c r="G23" s="9">
        <v>99.721217669947293</v>
      </c>
      <c r="H23" s="9">
        <v>80.550469214923297</v>
      </c>
      <c r="I23" s="9">
        <v>551.89255189255096</v>
      </c>
      <c r="J23" s="9">
        <v>64.034485389486505</v>
      </c>
      <c r="K23" s="9">
        <v>0.45190547035934903</v>
      </c>
      <c r="L23" s="9">
        <v>33.663800000000002</v>
      </c>
      <c r="M23" s="9">
        <v>30.4803</v>
      </c>
      <c r="N23" s="9">
        <v>34.782600000000002</v>
      </c>
      <c r="O23" s="7" t="s">
        <v>50</v>
      </c>
      <c r="P23" s="10">
        <v>3.3234513037743801E-2</v>
      </c>
      <c r="Q23" s="9">
        <v>34.223199999999999</v>
      </c>
      <c r="R23" s="9">
        <v>15.92315</v>
      </c>
      <c r="S23" s="9">
        <v>30.291249999999899</v>
      </c>
      <c r="T23" s="7" t="s">
        <v>69</v>
      </c>
    </row>
    <row r="24" spans="1:20">
      <c r="A24" s="7">
        <v>23</v>
      </c>
      <c r="B24" s="9">
        <v>100</v>
      </c>
      <c r="C24" s="9">
        <v>80</v>
      </c>
      <c r="D24" s="9">
        <v>545</v>
      </c>
      <c r="E24" s="9">
        <v>200</v>
      </c>
      <c r="F24" s="9">
        <v>0.45</v>
      </c>
      <c r="G24" s="9">
        <v>99.721217669947293</v>
      </c>
      <c r="H24" s="9">
        <v>80.556191348134504</v>
      </c>
      <c r="I24" s="9">
        <v>548.84004884004798</v>
      </c>
      <c r="J24" s="9">
        <v>63.588158999008101</v>
      </c>
      <c r="K24" s="9">
        <v>0.451934081025406</v>
      </c>
      <c r="L24" s="9">
        <v>29.489899999999999</v>
      </c>
      <c r="M24" s="9">
        <v>34.545999999999999</v>
      </c>
      <c r="N24" s="9">
        <v>34.748800000000003</v>
      </c>
      <c r="O24" s="7" t="s">
        <v>47</v>
      </c>
      <c r="P24" s="10">
        <v>5.8704336247323401E-3</v>
      </c>
      <c r="Q24" s="9">
        <v>34.647399999999998</v>
      </c>
      <c r="R24" s="9">
        <v>17.607749999999999</v>
      </c>
      <c r="S24" s="9">
        <v>29.83625</v>
      </c>
      <c r="T24" s="7" t="s">
        <v>70</v>
      </c>
    </row>
    <row r="25" spans="1:20">
      <c r="A25" s="7">
        <v>24</v>
      </c>
      <c r="B25" s="9">
        <v>100</v>
      </c>
      <c r="C25" s="9">
        <v>80</v>
      </c>
      <c r="D25" s="9">
        <v>711</v>
      </c>
      <c r="E25" s="9">
        <v>200</v>
      </c>
      <c r="F25" s="9">
        <v>0.45</v>
      </c>
      <c r="G25" s="9">
        <v>99.721217669947293</v>
      </c>
      <c r="H25" s="9">
        <v>80.556191348134504</v>
      </c>
      <c r="I25" s="9">
        <v>715.50671550671495</v>
      </c>
      <c r="J25" s="9">
        <v>86.846723125047603</v>
      </c>
      <c r="K25" s="9">
        <v>0.45190547035934903</v>
      </c>
      <c r="L25" s="9">
        <v>35.096699999999998</v>
      </c>
      <c r="M25" s="9">
        <v>35.184800000000003</v>
      </c>
      <c r="N25" s="9">
        <v>34.641800000000003</v>
      </c>
      <c r="O25" s="7" t="s">
        <v>45</v>
      </c>
      <c r="P25" s="10">
        <v>2.51020751238732E-3</v>
      </c>
      <c r="Q25" s="9">
        <v>35.140749999999997</v>
      </c>
      <c r="R25" s="9">
        <v>15.916699999999899</v>
      </c>
      <c r="S25" s="9">
        <v>31.329249999999998</v>
      </c>
      <c r="T25" s="7" t="s">
        <v>71</v>
      </c>
    </row>
    <row r="26" spans="1:20">
      <c r="A26" s="7">
        <v>25</v>
      </c>
      <c r="B26" s="9">
        <v>100</v>
      </c>
      <c r="C26" s="9">
        <v>80</v>
      </c>
      <c r="D26" s="9">
        <v>612</v>
      </c>
      <c r="E26" s="9">
        <v>200</v>
      </c>
      <c r="F26" s="9">
        <v>0.45</v>
      </c>
      <c r="G26" s="9">
        <v>99.721217669947293</v>
      </c>
      <c r="H26" s="9">
        <v>80.544747081712003</v>
      </c>
      <c r="I26" s="9">
        <v>616.60561660561598</v>
      </c>
      <c r="J26" s="9">
        <v>72.999160753795607</v>
      </c>
      <c r="K26" s="9">
        <v>0.45190547035934903</v>
      </c>
      <c r="L26" s="9">
        <v>30.4452</v>
      </c>
      <c r="M26" s="9">
        <v>37.072200000000002</v>
      </c>
      <c r="N26" s="9">
        <v>36.807600000000001</v>
      </c>
      <c r="O26" s="7" t="s">
        <v>47</v>
      </c>
      <c r="P26" s="10">
        <v>7.1887327617122902E-3</v>
      </c>
      <c r="Q26" s="9">
        <v>36.939900000000002</v>
      </c>
      <c r="R26" s="9">
        <v>15.766450000000001</v>
      </c>
      <c r="S26" s="9">
        <v>33.406099999999903</v>
      </c>
      <c r="T26" s="7" t="s">
        <v>72</v>
      </c>
    </row>
    <row r="27" spans="1:20">
      <c r="A27" s="7">
        <v>26</v>
      </c>
      <c r="B27" s="9">
        <v>100</v>
      </c>
      <c r="C27" s="9">
        <v>80</v>
      </c>
      <c r="D27" s="9">
        <v>667</v>
      </c>
      <c r="E27" s="9">
        <v>200</v>
      </c>
      <c r="F27" s="9">
        <v>0.45</v>
      </c>
      <c r="G27" s="9">
        <v>99.718242160677505</v>
      </c>
      <c r="H27" s="9">
        <v>80.550469214923297</v>
      </c>
      <c r="I27" s="9">
        <v>671.55067155067104</v>
      </c>
      <c r="J27" s="9">
        <v>80.750743877317404</v>
      </c>
      <c r="K27" s="9">
        <v>0.45190547035934903</v>
      </c>
      <c r="L27" s="9">
        <v>34.023600000000002</v>
      </c>
      <c r="M27" s="9">
        <v>33.502899999999997</v>
      </c>
      <c r="N27" s="9">
        <v>34.255600000000001</v>
      </c>
      <c r="O27" s="7" t="s">
        <v>50</v>
      </c>
      <c r="P27" s="10">
        <v>6.81879636487612E-3</v>
      </c>
      <c r="Q27" s="9">
        <v>34.139600000000002</v>
      </c>
      <c r="R27" s="9">
        <v>16.757649999999899</v>
      </c>
      <c r="S27" s="9">
        <v>29.74325</v>
      </c>
      <c r="T27" s="7" t="s">
        <v>73</v>
      </c>
    </row>
    <row r="28" spans="1:20">
      <c r="A28" s="7">
        <v>27</v>
      </c>
      <c r="B28" s="9">
        <v>100</v>
      </c>
      <c r="C28" s="9">
        <v>80</v>
      </c>
      <c r="D28" s="9">
        <v>555</v>
      </c>
      <c r="E28" s="9">
        <v>200</v>
      </c>
      <c r="F28" s="9">
        <v>0.45</v>
      </c>
      <c r="G28" s="9">
        <v>99.721217669947293</v>
      </c>
      <c r="H28" s="9">
        <v>80.556191348134504</v>
      </c>
      <c r="I28" s="9">
        <v>559.21855921855899</v>
      </c>
      <c r="J28" s="9">
        <v>65.144579232471202</v>
      </c>
      <c r="K28" s="9">
        <v>0.45190547035934903</v>
      </c>
      <c r="L28" s="9">
        <v>30.335999999999999</v>
      </c>
      <c r="M28" s="9">
        <v>35.203299999999999</v>
      </c>
      <c r="N28" s="9">
        <v>35.369900000000001</v>
      </c>
      <c r="O28" s="7" t="s">
        <v>47</v>
      </c>
      <c r="P28" s="10">
        <v>4.7325108725603101E-3</v>
      </c>
      <c r="Q28" s="9">
        <v>35.2866</v>
      </c>
      <c r="R28" s="9">
        <v>15.185600000000001</v>
      </c>
      <c r="S28" s="9">
        <v>31.851800000000001</v>
      </c>
      <c r="T28" s="7" t="s">
        <v>74</v>
      </c>
    </row>
    <row r="29" spans="1:20">
      <c r="A29" s="7">
        <v>28</v>
      </c>
      <c r="B29" s="9">
        <v>100</v>
      </c>
      <c r="C29" s="9">
        <v>80</v>
      </c>
      <c r="D29" s="9">
        <v>681</v>
      </c>
      <c r="E29" s="9">
        <v>200</v>
      </c>
      <c r="F29" s="9">
        <v>0.45</v>
      </c>
      <c r="G29" s="9">
        <v>99.721217669947293</v>
      </c>
      <c r="H29" s="9">
        <v>80.539024948500796</v>
      </c>
      <c r="I29" s="9">
        <v>685.59218559218505</v>
      </c>
      <c r="J29" s="9">
        <v>82.799267566948899</v>
      </c>
      <c r="K29" s="9">
        <v>0.451934081025406</v>
      </c>
      <c r="L29" s="9">
        <v>34.288699999999999</v>
      </c>
      <c r="M29" s="9">
        <v>33.482700000000001</v>
      </c>
      <c r="N29" s="9">
        <v>34.324399999999997</v>
      </c>
      <c r="O29" s="7" t="s">
        <v>50</v>
      </c>
      <c r="P29" s="10">
        <v>1.0411593323747599E-3</v>
      </c>
      <c r="Q29" s="9">
        <v>34.306550000000001</v>
      </c>
      <c r="R29" s="9">
        <v>15.99615</v>
      </c>
      <c r="S29" s="9">
        <v>30.345199999999998</v>
      </c>
      <c r="T29" s="7" t="s">
        <v>75</v>
      </c>
    </row>
    <row r="30" spans="1:20">
      <c r="A30" s="7">
        <v>29</v>
      </c>
      <c r="B30" s="9">
        <v>100</v>
      </c>
      <c r="C30" s="9">
        <v>80</v>
      </c>
      <c r="D30" s="9">
        <v>742</v>
      </c>
      <c r="E30" s="9">
        <v>200</v>
      </c>
      <c r="F30" s="9">
        <v>0.45</v>
      </c>
      <c r="G30" s="9">
        <v>99.718242160677505</v>
      </c>
      <c r="H30" s="9">
        <v>80.550469214923297</v>
      </c>
      <c r="I30" s="9">
        <v>746.64224664224605</v>
      </c>
      <c r="J30" s="9">
        <v>91.523613336385097</v>
      </c>
      <c r="K30" s="9">
        <v>0.45190547035934903</v>
      </c>
      <c r="L30" s="9">
        <v>35.756700000000002</v>
      </c>
      <c r="M30" s="9">
        <v>36.267099999999999</v>
      </c>
      <c r="N30" s="9">
        <v>36.325400000000002</v>
      </c>
      <c r="O30" s="7" t="s">
        <v>47</v>
      </c>
      <c r="P30" s="10">
        <v>1.6075175572351399E-3</v>
      </c>
      <c r="Q30" s="9">
        <v>36.296250000000001</v>
      </c>
      <c r="R30" s="9">
        <v>15.930249999999999</v>
      </c>
      <c r="S30" s="9">
        <v>32.613250000000001</v>
      </c>
      <c r="T30" s="7" t="s">
        <v>76</v>
      </c>
    </row>
    <row r="31" spans="1:20">
      <c r="A31" s="7">
        <v>30</v>
      </c>
      <c r="B31" s="9">
        <v>100</v>
      </c>
      <c r="C31" s="9">
        <v>80</v>
      </c>
      <c r="D31" s="9">
        <v>598</v>
      </c>
      <c r="E31" s="9">
        <v>200</v>
      </c>
      <c r="F31" s="9">
        <v>0.45</v>
      </c>
      <c r="G31" s="9">
        <v>99.721217669947293</v>
      </c>
      <c r="H31" s="9">
        <v>80.556191348134504</v>
      </c>
      <c r="I31" s="9">
        <v>601.95360195360195</v>
      </c>
      <c r="J31" s="9">
        <v>71.2405584802014</v>
      </c>
      <c r="K31" s="9">
        <v>0.45190547035934903</v>
      </c>
      <c r="L31" s="9">
        <v>36.610599999999998</v>
      </c>
      <c r="M31" s="9">
        <v>36.543700000000001</v>
      </c>
      <c r="N31" s="9">
        <v>36.525399999999998</v>
      </c>
      <c r="O31" s="7" t="s">
        <v>47</v>
      </c>
      <c r="P31" s="10">
        <v>5.0102120716004502E-4</v>
      </c>
      <c r="Q31" s="9">
        <v>36.534549999999903</v>
      </c>
      <c r="R31" s="9">
        <v>14.9737499999999</v>
      </c>
      <c r="S31" s="9">
        <v>33.32385</v>
      </c>
      <c r="T31" s="7" t="s">
        <v>77</v>
      </c>
    </row>
    <row r="32" spans="1:20">
      <c r="A32" s="7">
        <v>31</v>
      </c>
      <c r="B32" s="9">
        <v>100</v>
      </c>
      <c r="C32" s="9">
        <v>80</v>
      </c>
      <c r="D32" s="9">
        <v>549</v>
      </c>
      <c r="E32" s="9">
        <v>200</v>
      </c>
      <c r="F32" s="9">
        <v>0.45</v>
      </c>
      <c r="G32" s="9">
        <v>99.721217669947293</v>
      </c>
      <c r="H32" s="9">
        <v>80.556191348134504</v>
      </c>
      <c r="I32" s="9">
        <v>553.11355311355305</v>
      </c>
      <c r="J32" s="9">
        <v>64.396887159532994</v>
      </c>
      <c r="K32" s="9">
        <v>0.45190547035934903</v>
      </c>
      <c r="L32" s="9">
        <v>34.900199999999998</v>
      </c>
      <c r="M32" s="9">
        <v>29.680099999999999</v>
      </c>
      <c r="N32" s="9">
        <v>34.968800000000002</v>
      </c>
      <c r="O32" s="7" t="s">
        <v>50</v>
      </c>
      <c r="P32" s="10">
        <v>1.9656047816345901E-3</v>
      </c>
      <c r="Q32" s="9">
        <v>34.9345</v>
      </c>
      <c r="R32" s="9">
        <v>15.194949999999899</v>
      </c>
      <c r="S32" s="9">
        <v>31.455100000000002</v>
      </c>
      <c r="T32" s="7" t="s">
        <v>78</v>
      </c>
    </row>
    <row r="33" spans="1:20">
      <c r="A33" s="7">
        <v>32</v>
      </c>
      <c r="B33" s="9">
        <v>100</v>
      </c>
      <c r="C33" s="9">
        <v>80</v>
      </c>
      <c r="D33" s="9">
        <v>544</v>
      </c>
      <c r="E33" s="9">
        <v>200</v>
      </c>
      <c r="F33" s="9">
        <v>0.45</v>
      </c>
      <c r="G33" s="9">
        <v>99.721217669947293</v>
      </c>
      <c r="H33" s="9">
        <v>80.556191348134504</v>
      </c>
      <c r="I33" s="9">
        <v>548.22954822954796</v>
      </c>
      <c r="J33" s="9">
        <v>63.664454108491597</v>
      </c>
      <c r="K33" s="9">
        <v>0.45190547035934903</v>
      </c>
      <c r="L33" s="9">
        <v>30.473500000000001</v>
      </c>
      <c r="M33" s="9">
        <v>35.141199999999998</v>
      </c>
      <c r="N33" s="9">
        <v>30.5486</v>
      </c>
      <c r="O33" s="7" t="s">
        <v>50</v>
      </c>
      <c r="P33" s="10">
        <v>2.4644363135182699E-3</v>
      </c>
      <c r="Q33" s="9">
        <v>30.511050000000001</v>
      </c>
      <c r="R33" s="9">
        <v>16.831699999999898</v>
      </c>
      <c r="S33" s="9">
        <v>25.447600000000001</v>
      </c>
      <c r="T33" s="7" t="s">
        <v>79</v>
      </c>
    </row>
    <row r="34" spans="1:20">
      <c r="A34" s="7">
        <v>33</v>
      </c>
      <c r="B34" s="9">
        <v>100</v>
      </c>
      <c r="C34" s="9">
        <v>80</v>
      </c>
      <c r="D34" s="9">
        <v>543</v>
      </c>
      <c r="E34" s="9">
        <v>200</v>
      </c>
      <c r="F34" s="9">
        <v>0.45</v>
      </c>
      <c r="G34" s="9">
        <v>99.718242160677505</v>
      </c>
      <c r="H34" s="9">
        <v>80.556191348134504</v>
      </c>
      <c r="I34" s="9">
        <v>547.008547008547</v>
      </c>
      <c r="J34" s="9">
        <v>63.450827801937898</v>
      </c>
      <c r="K34" s="9">
        <v>0.45190547035934903</v>
      </c>
      <c r="L34" s="9">
        <v>30.290600000000001</v>
      </c>
      <c r="M34" s="9">
        <v>35.932200000000002</v>
      </c>
      <c r="N34" s="9">
        <v>29.988199999999999</v>
      </c>
      <c r="O34" s="7" t="s">
        <v>50</v>
      </c>
      <c r="P34" s="10">
        <v>1.00839663601017E-2</v>
      </c>
      <c r="Q34" s="9">
        <v>30.139399999999998</v>
      </c>
      <c r="R34" s="9">
        <v>16.245249999999999</v>
      </c>
      <c r="S34" s="9">
        <v>25.379100000000001</v>
      </c>
      <c r="T34" s="7" t="s">
        <v>80</v>
      </c>
    </row>
    <row r="35" spans="1:20">
      <c r="A35" s="7">
        <v>34</v>
      </c>
      <c r="B35" s="9">
        <v>100</v>
      </c>
      <c r="C35" s="9">
        <v>80</v>
      </c>
      <c r="D35" s="9">
        <v>625</v>
      </c>
      <c r="E35" s="9">
        <v>200</v>
      </c>
      <c r="F35" s="9">
        <v>0.45</v>
      </c>
      <c r="G35" s="9">
        <v>99.721217669947293</v>
      </c>
      <c r="H35" s="9">
        <v>80.573357747768299</v>
      </c>
      <c r="I35" s="9">
        <v>629.42612942612902</v>
      </c>
      <c r="J35" s="9">
        <v>74.849317158770106</v>
      </c>
      <c r="K35" s="9">
        <v>0.45190547035934903</v>
      </c>
      <c r="L35" s="9">
        <v>32.536200000000001</v>
      </c>
      <c r="M35" s="9">
        <v>32.132399999999997</v>
      </c>
      <c r="N35" s="9">
        <v>32.113</v>
      </c>
      <c r="O35" s="7" t="s">
        <v>47</v>
      </c>
      <c r="P35" s="10">
        <v>6.0411671285764002E-4</v>
      </c>
      <c r="Q35" s="9">
        <v>32.122699999999902</v>
      </c>
      <c r="R35" s="9">
        <v>17.439900000000002</v>
      </c>
      <c r="S35" s="9">
        <v>26.9756</v>
      </c>
      <c r="T35" s="7" t="s">
        <v>81</v>
      </c>
    </row>
    <row r="36" spans="1:20">
      <c r="A36" s="7">
        <v>35</v>
      </c>
      <c r="B36" s="9">
        <v>100</v>
      </c>
      <c r="C36" s="9">
        <v>80</v>
      </c>
      <c r="D36" s="9">
        <v>695</v>
      </c>
      <c r="E36" s="9">
        <v>200</v>
      </c>
      <c r="F36" s="9">
        <v>0.45</v>
      </c>
      <c r="G36" s="9">
        <v>99.721217669947293</v>
      </c>
      <c r="H36" s="9">
        <v>80.544747081712003</v>
      </c>
      <c r="I36" s="9">
        <v>699.63369963369905</v>
      </c>
      <c r="J36" s="9">
        <v>84.863050278477104</v>
      </c>
      <c r="K36" s="9">
        <v>0.45190547035934903</v>
      </c>
      <c r="L36" s="9">
        <v>34.749099999999999</v>
      </c>
      <c r="M36" s="9">
        <v>34.747799999999998</v>
      </c>
      <c r="N36" s="9">
        <v>34.472999999999999</v>
      </c>
      <c r="O36" s="7" t="s">
        <v>45</v>
      </c>
      <c r="P36" s="10">
        <v>3.74124404998453E-5</v>
      </c>
      <c r="Q36" s="9">
        <v>34.748449999999998</v>
      </c>
      <c r="R36" s="9">
        <v>16.2559</v>
      </c>
      <c r="S36" s="9">
        <v>30.709800000000001</v>
      </c>
      <c r="T36" s="7" t="s">
        <v>82</v>
      </c>
    </row>
    <row r="37" spans="1:20">
      <c r="A37" s="7">
        <v>36</v>
      </c>
      <c r="B37" s="9">
        <v>100</v>
      </c>
      <c r="C37" s="9">
        <v>80</v>
      </c>
      <c r="D37" s="9">
        <v>728</v>
      </c>
      <c r="E37" s="9">
        <v>200</v>
      </c>
      <c r="F37" s="9">
        <v>0.45</v>
      </c>
      <c r="G37" s="9">
        <v>99.721217669947293</v>
      </c>
      <c r="H37" s="9">
        <v>80.556191348134504</v>
      </c>
      <c r="I37" s="9">
        <v>732.60073260073204</v>
      </c>
      <c r="J37" s="9">
        <v>89.665827420462307</v>
      </c>
      <c r="K37" s="9">
        <v>0.45190547035934903</v>
      </c>
      <c r="L37" s="9">
        <v>36.988799999999998</v>
      </c>
      <c r="M37" s="9">
        <v>35.7483</v>
      </c>
      <c r="N37" s="9">
        <v>35.132199999999997</v>
      </c>
      <c r="O37" s="7" t="s">
        <v>47</v>
      </c>
      <c r="P37" s="10">
        <v>1.7536618828311399E-2</v>
      </c>
      <c r="Q37" s="9">
        <v>35.440249999999999</v>
      </c>
      <c r="R37" s="9">
        <v>15.36585</v>
      </c>
      <c r="S37" s="9">
        <v>31.935549999999999</v>
      </c>
      <c r="T37" s="7" t="s">
        <v>83</v>
      </c>
    </row>
    <row r="38" spans="1:20">
      <c r="A38" s="7">
        <v>37</v>
      </c>
      <c r="B38" s="9">
        <v>100</v>
      </c>
      <c r="C38" s="9">
        <v>80</v>
      </c>
      <c r="D38" s="9">
        <v>586</v>
      </c>
      <c r="E38" s="9">
        <v>200</v>
      </c>
      <c r="F38" s="9">
        <v>0.45</v>
      </c>
      <c r="G38" s="9">
        <v>99.721217669947293</v>
      </c>
      <c r="H38" s="9">
        <v>80.561913481345798</v>
      </c>
      <c r="I38" s="9">
        <v>589.74358974358904</v>
      </c>
      <c r="J38" s="9">
        <v>69.638361181048296</v>
      </c>
      <c r="K38" s="9">
        <v>0.45190547035934903</v>
      </c>
      <c r="L38" s="9">
        <v>34.854700000000001</v>
      </c>
      <c r="M38" s="9">
        <v>43.6492</v>
      </c>
      <c r="N38" s="9">
        <v>43.602899999999998</v>
      </c>
      <c r="O38" s="7" t="s">
        <v>47</v>
      </c>
      <c r="P38" s="10">
        <v>1.0618559774694301E-3</v>
      </c>
      <c r="Q38" s="9">
        <v>43.626049999999999</v>
      </c>
      <c r="R38" s="9">
        <v>14.370749999999999</v>
      </c>
      <c r="S38" s="9">
        <v>41.190449999999998</v>
      </c>
      <c r="T38" s="7" t="s">
        <v>84</v>
      </c>
    </row>
    <row r="39" spans="1:20">
      <c r="A39" s="7">
        <v>38</v>
      </c>
      <c r="B39" s="9">
        <v>100</v>
      </c>
      <c r="C39" s="9">
        <v>80</v>
      </c>
      <c r="D39" s="9">
        <v>635</v>
      </c>
      <c r="E39" s="9">
        <v>200</v>
      </c>
      <c r="F39" s="9">
        <v>0.45</v>
      </c>
      <c r="G39" s="9">
        <v>99.718242160677505</v>
      </c>
      <c r="H39" s="9">
        <v>80.539024948500796</v>
      </c>
      <c r="I39" s="9">
        <v>639.80463980463901</v>
      </c>
      <c r="J39" s="9">
        <v>76.5697718776226</v>
      </c>
      <c r="K39" s="9">
        <v>0.451934081025406</v>
      </c>
      <c r="L39" s="9">
        <v>32.382599999999996</v>
      </c>
      <c r="M39" s="9">
        <v>32.400799999999997</v>
      </c>
      <c r="N39" s="9">
        <v>36.982199999999999</v>
      </c>
      <c r="O39" s="7" t="s">
        <v>45</v>
      </c>
      <c r="P39" s="10">
        <v>5.6203022610909004E-4</v>
      </c>
      <c r="Q39" s="9">
        <v>32.3917</v>
      </c>
      <c r="R39" s="9">
        <v>16.663049999999998</v>
      </c>
      <c r="S39" s="9">
        <v>27.775749999999999</v>
      </c>
      <c r="T39" s="7" t="s">
        <v>85</v>
      </c>
    </row>
    <row r="40" spans="1:20">
      <c r="A40" s="7">
        <v>39</v>
      </c>
      <c r="B40" s="9">
        <v>100</v>
      </c>
      <c r="C40" s="9">
        <v>80</v>
      </c>
      <c r="D40" s="9">
        <v>646</v>
      </c>
      <c r="E40" s="9">
        <v>200</v>
      </c>
      <c r="F40" s="9">
        <v>0.45</v>
      </c>
      <c r="G40" s="9">
        <v>99.721217669947293</v>
      </c>
      <c r="H40" s="9">
        <v>80.527580682078195</v>
      </c>
      <c r="I40" s="9">
        <v>650.79365079365004</v>
      </c>
      <c r="J40" s="9">
        <v>78.149080643930702</v>
      </c>
      <c r="K40" s="9">
        <v>0.45190547035934903</v>
      </c>
      <c r="L40" s="9">
        <v>32.202300000000001</v>
      </c>
      <c r="M40" s="9">
        <v>32.580500000000001</v>
      </c>
      <c r="N40" s="9">
        <v>33.202800000000003</v>
      </c>
      <c r="O40" s="7" t="s">
        <v>45</v>
      </c>
      <c r="P40" s="10">
        <v>1.1744502721855199E-2</v>
      </c>
      <c r="Q40" s="9">
        <v>32.391399999999997</v>
      </c>
      <c r="R40" s="9">
        <v>16.006699999999999</v>
      </c>
      <c r="S40" s="9">
        <v>28.15765</v>
      </c>
      <c r="T40" s="7" t="s">
        <v>86</v>
      </c>
    </row>
    <row r="41" spans="1:20">
      <c r="A41" s="7">
        <v>40</v>
      </c>
      <c r="B41" s="9">
        <v>100</v>
      </c>
      <c r="C41" s="9">
        <v>80</v>
      </c>
      <c r="D41" s="9">
        <v>706</v>
      </c>
      <c r="E41" s="9">
        <v>200</v>
      </c>
      <c r="F41" s="9">
        <v>0.45</v>
      </c>
      <c r="G41" s="9">
        <v>99.721217669947293</v>
      </c>
      <c r="H41" s="9">
        <v>80.561913481345798</v>
      </c>
      <c r="I41" s="9">
        <v>710.62271062270997</v>
      </c>
      <c r="J41" s="9">
        <v>86.675059128709805</v>
      </c>
      <c r="K41" s="9">
        <v>0.451934081025406</v>
      </c>
      <c r="L41" s="9">
        <v>35.300800000000002</v>
      </c>
      <c r="M41" s="9">
        <v>35.1</v>
      </c>
      <c r="N41" s="9">
        <v>35.479399999999998</v>
      </c>
      <c r="O41" s="7" t="s">
        <v>50</v>
      </c>
      <c r="P41" s="10">
        <v>5.05937542491943E-3</v>
      </c>
      <c r="Q41" s="9">
        <v>35.390099999999997</v>
      </c>
      <c r="R41" s="9">
        <v>15.8993</v>
      </c>
      <c r="S41" s="9">
        <v>31.616499999999998</v>
      </c>
      <c r="T41" s="7" t="s">
        <v>87</v>
      </c>
    </row>
    <row r="42" spans="1:20">
      <c r="A42" s="7">
        <v>41</v>
      </c>
      <c r="B42" s="9">
        <v>100</v>
      </c>
      <c r="C42" s="9">
        <v>80</v>
      </c>
      <c r="D42" s="9">
        <v>542</v>
      </c>
      <c r="E42" s="9">
        <v>200</v>
      </c>
      <c r="F42" s="9">
        <v>0.45</v>
      </c>
      <c r="G42" s="9">
        <v>99.721217669947293</v>
      </c>
      <c r="H42" s="9">
        <v>80.556191348134504</v>
      </c>
      <c r="I42" s="9">
        <v>545.78754578754501</v>
      </c>
      <c r="J42" s="9">
        <v>63.569085221637202</v>
      </c>
      <c r="K42" s="9">
        <v>0.45190547035934903</v>
      </c>
      <c r="L42" s="9">
        <v>31.0471</v>
      </c>
      <c r="M42" s="9">
        <v>35.086199999999998</v>
      </c>
      <c r="N42" s="9">
        <v>34.833799999999997</v>
      </c>
      <c r="O42" s="7" t="s">
        <v>47</v>
      </c>
      <c r="P42" s="10">
        <v>7.2458359409539397E-3</v>
      </c>
      <c r="Q42" s="9">
        <v>34.959999999999901</v>
      </c>
      <c r="R42" s="9">
        <v>17.516549999999999</v>
      </c>
      <c r="S42" s="9">
        <v>30.252299999999899</v>
      </c>
      <c r="T42" s="7" t="s">
        <v>88</v>
      </c>
    </row>
    <row r="43" spans="1:20">
      <c r="A43" s="7">
        <v>42</v>
      </c>
      <c r="B43" s="9">
        <v>100</v>
      </c>
      <c r="C43" s="9">
        <v>80</v>
      </c>
      <c r="D43" s="9">
        <v>541</v>
      </c>
      <c r="E43" s="9">
        <v>200</v>
      </c>
      <c r="F43" s="9">
        <v>0.45</v>
      </c>
      <c r="G43" s="9">
        <v>99.721217669947293</v>
      </c>
      <c r="H43" s="9">
        <v>80.556191348134504</v>
      </c>
      <c r="I43" s="9">
        <v>545.17704517704499</v>
      </c>
      <c r="J43" s="9">
        <v>63.4431982909895</v>
      </c>
      <c r="K43" s="9">
        <v>0.45190547035934903</v>
      </c>
      <c r="L43" s="9">
        <v>30.223500000000001</v>
      </c>
      <c r="M43" s="9">
        <v>30.719000000000001</v>
      </c>
      <c r="N43" s="9">
        <v>35.244399999999999</v>
      </c>
      <c r="O43" s="7" t="s">
        <v>45</v>
      </c>
      <c r="P43" s="10">
        <v>1.6394527437258999E-2</v>
      </c>
      <c r="Q43" s="9">
        <v>30.471250000000001</v>
      </c>
      <c r="R43" s="9">
        <v>16.942049999999998</v>
      </c>
      <c r="S43" s="9">
        <v>25.326049999999999</v>
      </c>
      <c r="T43" s="7" t="s">
        <v>89</v>
      </c>
    </row>
    <row r="44" spans="1:20">
      <c r="A44" s="7">
        <v>43</v>
      </c>
      <c r="B44" s="9">
        <v>100</v>
      </c>
      <c r="C44" s="9">
        <v>80</v>
      </c>
      <c r="D44" s="9">
        <v>540</v>
      </c>
      <c r="E44" s="9">
        <v>200</v>
      </c>
      <c r="F44" s="9">
        <v>0.45</v>
      </c>
      <c r="G44" s="9">
        <v>99.721217669947293</v>
      </c>
      <c r="H44" s="9">
        <v>80.556191348134504</v>
      </c>
      <c r="I44" s="9">
        <v>543.956043956043</v>
      </c>
      <c r="J44" s="9">
        <v>63.221942473487402</v>
      </c>
      <c r="K44" s="9">
        <v>0.451934081025406</v>
      </c>
      <c r="L44" s="9">
        <v>30.1494</v>
      </c>
      <c r="M44" s="9">
        <v>35.433</v>
      </c>
      <c r="N44" s="9">
        <v>34.5762</v>
      </c>
      <c r="O44" s="7" t="s">
        <v>47</v>
      </c>
      <c r="P44" s="10">
        <v>2.4780051017751999E-2</v>
      </c>
      <c r="Q44" s="9">
        <v>35.004599999999897</v>
      </c>
      <c r="R44" s="9">
        <v>16.975850000000001</v>
      </c>
      <c r="S44" s="9">
        <v>30.612649999999999</v>
      </c>
      <c r="T44" s="7" t="s">
        <v>90</v>
      </c>
    </row>
    <row r="45" spans="1:20">
      <c r="A45" s="7">
        <v>44</v>
      </c>
      <c r="B45" s="9">
        <v>100</v>
      </c>
      <c r="C45" s="9">
        <v>80</v>
      </c>
      <c r="D45" s="9">
        <v>567</v>
      </c>
      <c r="E45" s="9">
        <v>200</v>
      </c>
      <c r="F45" s="9">
        <v>0.45</v>
      </c>
      <c r="G45" s="9">
        <v>99.721217669947293</v>
      </c>
      <c r="H45" s="9">
        <v>80.561913481345798</v>
      </c>
      <c r="I45" s="9">
        <v>570.81807081807005</v>
      </c>
      <c r="J45" s="9">
        <v>66.899366750591199</v>
      </c>
      <c r="K45" s="9">
        <v>0.45190547035934903</v>
      </c>
      <c r="L45" s="9">
        <v>34.911299999999997</v>
      </c>
      <c r="M45" s="9">
        <v>34.893999999999998</v>
      </c>
      <c r="N45" s="9">
        <v>95.546599999999998</v>
      </c>
      <c r="O45" s="7" t="s">
        <v>45</v>
      </c>
      <c r="P45" s="10">
        <v>4.9578724135950999E-4</v>
      </c>
      <c r="Q45" s="9">
        <v>34.902649999999902</v>
      </c>
      <c r="R45" s="9">
        <v>14.15765</v>
      </c>
      <c r="S45" s="9">
        <v>31.902249999999999</v>
      </c>
      <c r="T45" s="7" t="s">
        <v>91</v>
      </c>
    </row>
    <row r="46" spans="1:20">
      <c r="A46" s="7">
        <v>45</v>
      </c>
      <c r="B46" s="9">
        <v>100</v>
      </c>
      <c r="C46" s="9">
        <v>80</v>
      </c>
      <c r="D46" s="9">
        <v>685</v>
      </c>
      <c r="E46" s="9">
        <v>200</v>
      </c>
      <c r="F46" s="9">
        <v>0.45</v>
      </c>
      <c r="G46" s="9">
        <v>99.721217669947293</v>
      </c>
      <c r="H46" s="9">
        <v>80.567635614557105</v>
      </c>
      <c r="I46" s="9">
        <v>689.86568986568898</v>
      </c>
      <c r="J46" s="9">
        <v>83.615625238422197</v>
      </c>
      <c r="K46" s="9">
        <v>0.45190547035934903</v>
      </c>
      <c r="L46" s="9">
        <v>34.566099999999999</v>
      </c>
      <c r="M46" s="9">
        <v>34.436999999999998</v>
      </c>
      <c r="N46" s="9">
        <v>34.747500000000002</v>
      </c>
      <c r="O46" s="7" t="s">
        <v>45</v>
      </c>
      <c r="P46" s="10">
        <v>3.7488747568023002E-3</v>
      </c>
      <c r="Q46" s="9">
        <v>34.501549999999902</v>
      </c>
      <c r="R46" s="9">
        <v>16.0596</v>
      </c>
      <c r="S46" s="9">
        <v>30.53415</v>
      </c>
      <c r="T46" s="7" t="s">
        <v>92</v>
      </c>
    </row>
    <row r="47" spans="1:20">
      <c r="A47" s="7">
        <v>46</v>
      </c>
      <c r="B47" s="9">
        <v>100</v>
      </c>
      <c r="C47" s="9">
        <v>80</v>
      </c>
      <c r="D47" s="9">
        <v>716</v>
      </c>
      <c r="E47" s="9">
        <v>200</v>
      </c>
      <c r="F47" s="9">
        <v>0.45</v>
      </c>
      <c r="G47" s="9">
        <v>99.724193179217195</v>
      </c>
      <c r="H47" s="9">
        <v>80.561913481345798</v>
      </c>
      <c r="I47" s="9">
        <v>720.39072039072005</v>
      </c>
      <c r="J47" s="9">
        <v>88.040741588464101</v>
      </c>
      <c r="K47" s="9">
        <v>0.45190547035934903</v>
      </c>
      <c r="L47" s="9">
        <v>35.611899999999999</v>
      </c>
      <c r="M47" s="9">
        <v>35.930599999999998</v>
      </c>
      <c r="N47" s="9">
        <v>34.7151</v>
      </c>
      <c r="O47" s="7" t="s">
        <v>45</v>
      </c>
      <c r="P47" s="10">
        <v>8.9492557263161892E-3</v>
      </c>
      <c r="Q47" s="9">
        <v>35.771249999999903</v>
      </c>
      <c r="R47" s="9">
        <v>15.7637499999999</v>
      </c>
      <c r="S47" s="9">
        <v>32.105849999999997</v>
      </c>
      <c r="T47" s="7" t="s">
        <v>93</v>
      </c>
    </row>
    <row r="48" spans="1:20">
      <c r="A48" s="7">
        <v>47</v>
      </c>
      <c r="B48" s="9">
        <v>100</v>
      </c>
      <c r="C48" s="9">
        <v>80</v>
      </c>
      <c r="D48" s="9">
        <v>616</v>
      </c>
      <c r="E48" s="9">
        <v>200</v>
      </c>
      <c r="F48" s="9">
        <v>0.45</v>
      </c>
      <c r="G48" s="9">
        <v>99.721217669947293</v>
      </c>
      <c r="H48" s="9">
        <v>80.584802014190799</v>
      </c>
      <c r="I48" s="9">
        <v>620.26862026862</v>
      </c>
      <c r="J48" s="9">
        <v>73.971923399709993</v>
      </c>
      <c r="K48" s="9">
        <v>0.45190547035934903</v>
      </c>
      <c r="L48" s="9">
        <v>32.0473</v>
      </c>
      <c r="M48" s="9">
        <v>30.788900000000002</v>
      </c>
      <c r="N48" s="9">
        <v>33.658200000000001</v>
      </c>
      <c r="O48" s="7" t="s">
        <v>45</v>
      </c>
      <c r="P48" s="10">
        <v>4.0871872655404901E-2</v>
      </c>
      <c r="Q48" s="9">
        <v>31.418099999999999</v>
      </c>
      <c r="R48" s="9">
        <v>16.62405</v>
      </c>
      <c r="S48" s="9">
        <v>26.658850000000001</v>
      </c>
      <c r="T48" s="7" t="s">
        <v>94</v>
      </c>
    </row>
    <row r="49" spans="1:20">
      <c r="A49" s="7">
        <v>48</v>
      </c>
      <c r="B49" s="9">
        <v>100</v>
      </c>
      <c r="C49" s="9">
        <v>80</v>
      </c>
      <c r="D49" s="9">
        <v>655</v>
      </c>
      <c r="E49" s="9">
        <v>200</v>
      </c>
      <c r="F49" s="9">
        <v>0.45</v>
      </c>
      <c r="G49" s="9">
        <v>99.721217669947293</v>
      </c>
      <c r="H49" s="9">
        <v>80.533302815289503</v>
      </c>
      <c r="I49" s="9">
        <v>659.34065934065904</v>
      </c>
      <c r="J49" s="9">
        <v>79.427023727779002</v>
      </c>
      <c r="K49" s="9">
        <v>0.45190547035934903</v>
      </c>
      <c r="L49" s="9">
        <v>33.475999999999999</v>
      </c>
      <c r="M49" s="9">
        <v>33.178199999999997</v>
      </c>
      <c r="N49" s="9">
        <v>32.931800000000003</v>
      </c>
      <c r="O49" s="7" t="s">
        <v>47</v>
      </c>
      <c r="P49" s="10">
        <v>7.4821297347850398E-3</v>
      </c>
      <c r="Q49" s="9">
        <v>33.055</v>
      </c>
      <c r="R49" s="9">
        <v>16.222249999999999</v>
      </c>
      <c r="S49" s="9">
        <v>28.8</v>
      </c>
      <c r="T49" s="7" t="s">
        <v>95</v>
      </c>
    </row>
    <row r="50" spans="1:20">
      <c r="A50" s="7">
        <v>49</v>
      </c>
      <c r="B50" s="9">
        <v>100</v>
      </c>
      <c r="C50" s="9">
        <v>80</v>
      </c>
      <c r="D50" s="9">
        <v>576</v>
      </c>
      <c r="E50" s="9">
        <v>200</v>
      </c>
      <c r="F50" s="9">
        <v>0.45</v>
      </c>
      <c r="G50" s="9">
        <v>99.724193179217195</v>
      </c>
      <c r="H50" s="9">
        <v>80.561913481345798</v>
      </c>
      <c r="I50" s="9">
        <v>579.97557997557999</v>
      </c>
      <c r="J50" s="9">
        <v>68.352788586251606</v>
      </c>
      <c r="K50" s="9">
        <v>0.45190547035934903</v>
      </c>
      <c r="L50" s="9">
        <v>47.7896</v>
      </c>
      <c r="M50" s="9">
        <v>93.688199999999995</v>
      </c>
      <c r="N50" s="9">
        <v>95.143100000000004</v>
      </c>
      <c r="O50" s="7" t="s">
        <v>47</v>
      </c>
      <c r="P50" s="10">
        <v>1.5529170162304399E-2</v>
      </c>
      <c r="Q50" s="9">
        <v>94.415649999999999</v>
      </c>
      <c r="R50" s="9">
        <v>14.346399999999999</v>
      </c>
      <c r="S50" s="9">
        <v>93.319299999999998</v>
      </c>
      <c r="T50" s="7" t="s">
        <v>96</v>
      </c>
    </row>
    <row r="51" spans="1:20">
      <c r="A51" s="7">
        <v>50</v>
      </c>
      <c r="B51" s="9">
        <v>100</v>
      </c>
      <c r="C51" s="9">
        <v>80</v>
      </c>
      <c r="D51" s="9">
        <v>608</v>
      </c>
      <c r="E51" s="9">
        <v>200</v>
      </c>
      <c r="F51" s="9">
        <v>0.45</v>
      </c>
      <c r="G51" s="9">
        <v>99.721217669947293</v>
      </c>
      <c r="H51" s="9">
        <v>80.544747081712003</v>
      </c>
      <c r="I51" s="9">
        <v>611.721611721611</v>
      </c>
      <c r="J51" s="9">
        <v>72.735942626077602</v>
      </c>
      <c r="K51" s="9">
        <v>0.45190547035934903</v>
      </c>
      <c r="L51" s="9">
        <v>31.9072</v>
      </c>
      <c r="M51" s="9">
        <v>32.326700000000002</v>
      </c>
      <c r="N51" s="9">
        <v>36.256300000000003</v>
      </c>
      <c r="O51" s="7" t="s">
        <v>45</v>
      </c>
      <c r="P51" s="10">
        <v>1.3147502757998201E-2</v>
      </c>
      <c r="Q51" s="9">
        <v>32.116950000000003</v>
      </c>
      <c r="R51" s="9">
        <v>15.11675</v>
      </c>
      <c r="S51" s="9">
        <v>28.33475</v>
      </c>
      <c r="T51" s="7" t="s">
        <v>97</v>
      </c>
    </row>
    <row r="52" spans="1:20">
      <c r="A52" s="7">
        <v>51</v>
      </c>
      <c r="B52" s="9">
        <v>100</v>
      </c>
      <c r="C52" s="9">
        <v>80</v>
      </c>
      <c r="D52" s="9">
        <v>539</v>
      </c>
      <c r="E52" s="9">
        <v>200</v>
      </c>
      <c r="F52" s="9">
        <v>0.45</v>
      </c>
      <c r="G52" s="9">
        <v>99.721217669947293</v>
      </c>
      <c r="H52" s="9">
        <v>80.561913481345798</v>
      </c>
      <c r="I52" s="9">
        <v>542.73504273504204</v>
      </c>
      <c r="J52" s="9">
        <v>63.145647364003899</v>
      </c>
      <c r="K52" s="9">
        <v>0.45190547035934903</v>
      </c>
      <c r="L52" s="9">
        <v>30.582699999999999</v>
      </c>
      <c r="M52" s="9">
        <v>34.313099999999999</v>
      </c>
      <c r="N52" s="9">
        <v>35.119399999999999</v>
      </c>
      <c r="O52" s="7" t="s">
        <v>47</v>
      </c>
      <c r="P52" s="10">
        <v>2.34983140549819E-2</v>
      </c>
      <c r="Q52" s="9">
        <v>34.716250000000002</v>
      </c>
      <c r="R52" s="9">
        <v>16.220600000000001</v>
      </c>
      <c r="S52" s="9">
        <v>30.6937</v>
      </c>
      <c r="T52" s="7" t="s">
        <v>98</v>
      </c>
    </row>
    <row r="53" spans="1:20">
      <c r="A53" s="7">
        <v>52</v>
      </c>
      <c r="B53" s="9">
        <v>100</v>
      </c>
      <c r="C53" s="9">
        <v>80</v>
      </c>
      <c r="D53" s="9">
        <v>538</v>
      </c>
      <c r="E53" s="9">
        <v>200</v>
      </c>
      <c r="F53" s="9">
        <v>0.45</v>
      </c>
      <c r="G53" s="9">
        <v>99.721217669947293</v>
      </c>
      <c r="H53" s="9">
        <v>80.550469214923297</v>
      </c>
      <c r="I53" s="9">
        <v>542.12454212454202</v>
      </c>
      <c r="J53" s="9">
        <v>63.0540932326237</v>
      </c>
      <c r="K53" s="9">
        <v>0.45190547035934903</v>
      </c>
      <c r="L53" s="9">
        <v>30.646999999999998</v>
      </c>
      <c r="M53" s="9">
        <v>30.796299999999999</v>
      </c>
      <c r="N53" s="9">
        <v>34.571599999999997</v>
      </c>
      <c r="O53" s="7" t="s">
        <v>45</v>
      </c>
      <c r="P53" s="10">
        <v>4.8716024406956701E-3</v>
      </c>
      <c r="Q53" s="9">
        <v>30.721649999999901</v>
      </c>
      <c r="R53" s="9">
        <v>17.127299999999899</v>
      </c>
      <c r="S53" s="9">
        <v>25.50395</v>
      </c>
      <c r="T53" s="7" t="s">
        <v>99</v>
      </c>
    </row>
    <row r="54" spans="1:20">
      <c r="A54" s="7">
        <v>53</v>
      </c>
      <c r="B54" s="9">
        <v>100</v>
      </c>
      <c r="C54" s="9">
        <v>80</v>
      </c>
      <c r="D54" s="9">
        <v>537</v>
      </c>
      <c r="E54" s="9">
        <v>200</v>
      </c>
      <c r="F54" s="9">
        <v>0.45</v>
      </c>
      <c r="G54" s="9">
        <v>99.721217669947293</v>
      </c>
      <c r="H54" s="9">
        <v>80.556191348134504</v>
      </c>
      <c r="I54" s="9">
        <v>540.90354090354003</v>
      </c>
      <c r="J54" s="9">
        <v>62.813763637750803</v>
      </c>
      <c r="K54" s="9">
        <v>0.45190547035934903</v>
      </c>
      <c r="L54" s="9">
        <v>30.078099999999999</v>
      </c>
      <c r="M54" s="9">
        <v>30.2727</v>
      </c>
      <c r="N54" s="9">
        <v>29.5761</v>
      </c>
      <c r="O54" s="7" t="s">
        <v>45</v>
      </c>
      <c r="P54" s="10">
        <v>6.4698235593338999E-3</v>
      </c>
      <c r="Q54" s="9">
        <v>30.1754</v>
      </c>
      <c r="R54" s="9">
        <v>17.0794</v>
      </c>
      <c r="S54" s="9">
        <v>24.873149999999999</v>
      </c>
      <c r="T54" s="7" t="s">
        <v>100</v>
      </c>
    </row>
    <row r="55" spans="1:20">
      <c r="A55" s="7">
        <v>54</v>
      </c>
      <c r="B55" s="9">
        <v>100</v>
      </c>
      <c r="C55" s="9">
        <v>80</v>
      </c>
      <c r="D55" s="9">
        <v>746</v>
      </c>
      <c r="E55" s="9">
        <v>200</v>
      </c>
      <c r="F55" s="9">
        <v>0.45</v>
      </c>
      <c r="G55" s="9">
        <v>99.721217669947293</v>
      </c>
      <c r="H55" s="9">
        <v>80.556191348134504</v>
      </c>
      <c r="I55" s="9">
        <v>750.30525030524996</v>
      </c>
      <c r="J55" s="9">
        <v>92.225528343633101</v>
      </c>
      <c r="K55" s="9">
        <v>0.451934081025406</v>
      </c>
      <c r="L55" s="9">
        <v>36.74</v>
      </c>
      <c r="M55" s="9">
        <v>36.617899999999999</v>
      </c>
      <c r="N55" s="9">
        <v>36.277799999999999</v>
      </c>
      <c r="O55" s="7" t="s">
        <v>45</v>
      </c>
      <c r="P55" s="10">
        <v>3.3344347982817999E-3</v>
      </c>
      <c r="Q55" s="9">
        <v>36.67895</v>
      </c>
      <c r="R55" s="9">
        <v>16.051850000000002</v>
      </c>
      <c r="S55" s="9">
        <v>32.979999999999997</v>
      </c>
      <c r="T55" s="7" t="s">
        <v>101</v>
      </c>
    </row>
    <row r="56" spans="1:20">
      <c r="A56" s="7">
        <v>55</v>
      </c>
      <c r="B56" s="9">
        <v>100</v>
      </c>
      <c r="C56" s="9">
        <v>80</v>
      </c>
      <c r="D56" s="9">
        <v>595</v>
      </c>
      <c r="E56" s="9">
        <v>200</v>
      </c>
      <c r="F56" s="9">
        <v>0.45</v>
      </c>
      <c r="G56" s="9">
        <v>99.721217669947293</v>
      </c>
      <c r="H56" s="9">
        <v>80.561913481345798</v>
      </c>
      <c r="I56" s="9">
        <v>598.90109890109795</v>
      </c>
      <c r="J56" s="9">
        <v>71.026932173647594</v>
      </c>
      <c r="K56" s="9">
        <v>0.45190547035934903</v>
      </c>
      <c r="L56" s="9">
        <v>33.2303</v>
      </c>
      <c r="M56" s="9">
        <v>35.927799999999998</v>
      </c>
      <c r="N56" s="9">
        <v>36.284199999999998</v>
      </c>
      <c r="O56" s="7" t="s">
        <v>47</v>
      </c>
      <c r="P56" s="10">
        <v>9.9198949003278993E-3</v>
      </c>
      <c r="Q56" s="9">
        <v>36.105999999999902</v>
      </c>
      <c r="R56" s="9">
        <v>14.961499999999999</v>
      </c>
      <c r="S56" s="9">
        <v>32.859949999999998</v>
      </c>
      <c r="T56" s="7" t="s">
        <v>102</v>
      </c>
    </row>
    <row r="57" spans="1:20">
      <c r="A57" s="7">
        <v>56</v>
      </c>
      <c r="B57" s="9">
        <v>100</v>
      </c>
      <c r="C57" s="9">
        <v>80</v>
      </c>
      <c r="D57" s="9">
        <v>677</v>
      </c>
      <c r="E57" s="9">
        <v>200</v>
      </c>
      <c r="F57" s="9">
        <v>0.45</v>
      </c>
      <c r="G57" s="9">
        <v>99.721217669947293</v>
      </c>
      <c r="H57" s="9">
        <v>80.533302815289503</v>
      </c>
      <c r="I57" s="9">
        <v>681.318681318681</v>
      </c>
      <c r="J57" s="9">
        <v>82.642862592507797</v>
      </c>
      <c r="K57" s="9">
        <v>0.45190547035934903</v>
      </c>
      <c r="L57" s="9">
        <v>34.001100000000001</v>
      </c>
      <c r="M57" s="9">
        <v>33.645499999999998</v>
      </c>
      <c r="N57" s="9">
        <v>33.631100000000004</v>
      </c>
      <c r="O57" s="7" t="s">
        <v>47</v>
      </c>
      <c r="P57" s="10">
        <v>4.2817511172679002E-4</v>
      </c>
      <c r="Q57" s="9">
        <v>33.638300000000001</v>
      </c>
      <c r="R57" s="9">
        <v>15.9032</v>
      </c>
      <c r="S57" s="9">
        <v>29.6404</v>
      </c>
      <c r="T57" s="7" t="s">
        <v>103</v>
      </c>
    </row>
    <row r="58" spans="1:20">
      <c r="A58" s="7">
        <v>57</v>
      </c>
      <c r="B58" s="9">
        <v>100</v>
      </c>
      <c r="C58" s="9">
        <v>80</v>
      </c>
      <c r="D58" s="9">
        <v>643</v>
      </c>
      <c r="E58" s="9">
        <v>200</v>
      </c>
      <c r="F58" s="9">
        <v>0.45</v>
      </c>
      <c r="G58" s="9">
        <v>99.721217669947293</v>
      </c>
      <c r="H58" s="9">
        <v>80.550469214923297</v>
      </c>
      <c r="I58" s="9">
        <v>647.74114774114696</v>
      </c>
      <c r="J58" s="9">
        <v>77.977416647592804</v>
      </c>
      <c r="K58" s="9">
        <v>0.45190547035934903</v>
      </c>
      <c r="L58" s="9">
        <v>31.409500000000001</v>
      </c>
      <c r="M58" s="9">
        <v>31.809799999999999</v>
      </c>
      <c r="N58" s="9">
        <v>31.929200000000002</v>
      </c>
      <c r="O58" s="7" t="s">
        <v>47</v>
      </c>
      <c r="P58" s="10">
        <v>3.75356022357897E-3</v>
      </c>
      <c r="Q58" s="9">
        <v>31.869499999999999</v>
      </c>
      <c r="R58" s="9">
        <v>16.330749999999998</v>
      </c>
      <c r="S58" s="9">
        <v>27.3673</v>
      </c>
      <c r="T58" s="7" t="s">
        <v>104</v>
      </c>
    </row>
    <row r="59" spans="1:20">
      <c r="A59" s="7">
        <v>58</v>
      </c>
      <c r="B59" s="9">
        <v>100</v>
      </c>
      <c r="C59" s="9">
        <v>80</v>
      </c>
      <c r="D59" s="9">
        <v>663</v>
      </c>
      <c r="E59" s="9">
        <v>200</v>
      </c>
      <c r="F59" s="9">
        <v>0.45</v>
      </c>
      <c r="G59" s="9">
        <v>99.718242160677505</v>
      </c>
      <c r="H59" s="9">
        <v>80.533302815289503</v>
      </c>
      <c r="I59" s="9">
        <v>667.277167277167</v>
      </c>
      <c r="J59" s="9">
        <v>80.773632410162506</v>
      </c>
      <c r="K59" s="9">
        <v>0.45190547035934903</v>
      </c>
      <c r="L59" s="9">
        <v>33.248800000000003</v>
      </c>
      <c r="M59" s="9">
        <v>33.506700000000002</v>
      </c>
      <c r="N59" s="9">
        <v>32.907499999999999</v>
      </c>
      <c r="O59" s="7" t="s">
        <v>45</v>
      </c>
      <c r="P59" s="10">
        <v>7.7566709174466198E-3</v>
      </c>
      <c r="Q59" s="9">
        <v>33.377749999999999</v>
      </c>
      <c r="R59" s="9">
        <v>16.3507</v>
      </c>
      <c r="S59" s="9">
        <v>29.098649999999999</v>
      </c>
      <c r="T59" s="7" t="s">
        <v>105</v>
      </c>
    </row>
    <row r="60" spans="1:20">
      <c r="A60" s="7">
        <v>59</v>
      </c>
      <c r="B60" s="9">
        <v>100</v>
      </c>
      <c r="C60" s="9">
        <v>80</v>
      </c>
      <c r="D60" s="9">
        <v>719</v>
      </c>
      <c r="E60" s="9">
        <v>200</v>
      </c>
      <c r="F60" s="9">
        <v>0.45</v>
      </c>
      <c r="G60" s="9">
        <v>99.724193179217195</v>
      </c>
      <c r="H60" s="9">
        <v>80.561913481345798</v>
      </c>
      <c r="I60" s="9">
        <v>723.44322344322302</v>
      </c>
      <c r="J60" s="9">
        <v>88.860914015411595</v>
      </c>
      <c r="K60" s="9">
        <v>0.45190547035934903</v>
      </c>
      <c r="L60" s="9">
        <v>35.186199999999999</v>
      </c>
      <c r="M60" s="9">
        <v>36.143300000000004</v>
      </c>
      <c r="N60" s="9">
        <v>36.796900000000001</v>
      </c>
      <c r="O60" s="7" t="s">
        <v>47</v>
      </c>
      <c r="P60" s="10">
        <v>1.8083572889027701E-2</v>
      </c>
      <c r="Q60" s="9">
        <v>36.470100000000002</v>
      </c>
      <c r="R60" s="9">
        <v>15.65225</v>
      </c>
      <c r="S60" s="9">
        <v>32.936250000000001</v>
      </c>
      <c r="T60" s="7" t="s">
        <v>106</v>
      </c>
    </row>
    <row r="61" spans="1:20">
      <c r="A61" s="7">
        <v>60</v>
      </c>
      <c r="B61" s="9">
        <v>100</v>
      </c>
      <c r="C61" s="9">
        <v>80</v>
      </c>
      <c r="D61" s="9">
        <v>564</v>
      </c>
      <c r="E61" s="9">
        <v>200</v>
      </c>
      <c r="F61" s="9">
        <v>0.45</v>
      </c>
      <c r="G61" s="9">
        <v>99.721217669947293</v>
      </c>
      <c r="H61" s="9">
        <v>80.561913481345798</v>
      </c>
      <c r="I61" s="9">
        <v>567.76556776556697</v>
      </c>
      <c r="J61" s="9">
        <v>67.204547188525197</v>
      </c>
      <c r="K61" s="9">
        <v>0.451876859693293</v>
      </c>
      <c r="L61" s="9">
        <v>35.345799999999997</v>
      </c>
      <c r="M61" s="9">
        <v>34.514899999999997</v>
      </c>
      <c r="N61" s="9">
        <v>35.6295</v>
      </c>
      <c r="O61" s="7" t="s">
        <v>50</v>
      </c>
      <c r="P61" s="10">
        <v>8.0264133220921009E-3</v>
      </c>
      <c r="Q61" s="9">
        <v>35.487650000000002</v>
      </c>
      <c r="R61" s="9">
        <v>15.535600000000001</v>
      </c>
      <c r="S61" s="9">
        <v>31.90325</v>
      </c>
      <c r="T61" s="7" t="s">
        <v>107</v>
      </c>
    </row>
  </sheetData>
  <autoFilter ref="A1:T1" xr:uid="{1156C95A-826F-4361-A3B1-DD4761912A7A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6C0E-7918-4BC9-9E68-552FF1BEDB6E}">
  <dimension ref="A1:H17"/>
  <sheetViews>
    <sheetView showGridLines="0" workbookViewId="0"/>
  </sheetViews>
  <sheetFormatPr defaultRowHeight="13.9"/>
  <cols>
    <col min="1" max="1" width="19.59765625" style="1" customWidth="1"/>
    <col min="2" max="3" width="18.59765625" style="1" customWidth="1"/>
    <col min="4" max="4" width="17.59765625" style="1" customWidth="1"/>
    <col min="5" max="5" width="9.06640625" style="1"/>
    <col min="6" max="7" width="16.59765625" style="1" customWidth="1"/>
    <col min="8" max="16384" width="9.06640625" style="1"/>
  </cols>
  <sheetData>
    <row r="1" spans="1:8" ht="28.05" customHeight="1">
      <c r="A1" s="2" t="s">
        <v>0</v>
      </c>
      <c r="B1" s="2"/>
      <c r="C1" s="2"/>
      <c r="D1" s="2"/>
      <c r="E1" s="2"/>
      <c r="F1" s="2"/>
      <c r="G1" s="2"/>
      <c r="H1" s="2"/>
    </row>
    <row r="3" spans="1:8" ht="14.65">
      <c r="A3" s="3" t="s">
        <v>1</v>
      </c>
      <c r="B3" s="3"/>
      <c r="C3" s="3"/>
      <c r="D3" s="3"/>
      <c r="F3" s="3" t="s">
        <v>16</v>
      </c>
      <c r="G3" s="3"/>
    </row>
    <row r="4" spans="1:8" ht="14.65">
      <c r="A4" s="4" t="s">
        <v>2</v>
      </c>
      <c r="B4" s="4" t="s">
        <v>3</v>
      </c>
      <c r="C4" s="4" t="s">
        <v>4</v>
      </c>
      <c r="D4" s="4">
        <v>200</v>
      </c>
      <c r="F4" s="6" t="s">
        <v>17</v>
      </c>
      <c r="G4" s="6" t="s">
        <v>18</v>
      </c>
    </row>
    <row r="5" spans="1:8">
      <c r="A5" s="4" t="s">
        <v>5</v>
      </c>
      <c r="B5" s="4">
        <v>60</v>
      </c>
      <c r="C5" s="4" t="s">
        <v>6</v>
      </c>
      <c r="D5" s="4">
        <v>0.45</v>
      </c>
      <c r="F5" s="7" t="s">
        <v>19</v>
      </c>
      <c r="G5" s="7">
        <v>100</v>
      </c>
    </row>
    <row r="6" spans="1:8">
      <c r="A6" s="4" t="s">
        <v>7</v>
      </c>
      <c r="B6" s="4">
        <v>0</v>
      </c>
      <c r="C6" s="4" t="s">
        <v>8</v>
      </c>
      <c r="D6" s="4">
        <v>33</v>
      </c>
      <c r="F6" s="7" t="s">
        <v>20</v>
      </c>
      <c r="G6" s="7">
        <v>80</v>
      </c>
    </row>
    <row r="7" spans="1:8">
      <c r="A7" s="4" t="s">
        <v>9</v>
      </c>
      <c r="B7" s="4">
        <v>60</v>
      </c>
      <c r="C7" s="4" t="s">
        <v>10</v>
      </c>
      <c r="D7" s="4">
        <v>543</v>
      </c>
      <c r="F7" s="7" t="s">
        <v>21</v>
      </c>
      <c r="G7" s="7">
        <v>543</v>
      </c>
    </row>
    <row r="8" spans="1:8">
      <c r="A8" s="4" t="s">
        <v>11</v>
      </c>
      <c r="B8" s="4">
        <v>100</v>
      </c>
      <c r="C8" s="4" t="s">
        <v>12</v>
      </c>
      <c r="D8" s="4">
        <v>30.139399999999998</v>
      </c>
      <c r="F8" s="7" t="s">
        <v>22</v>
      </c>
      <c r="G8" s="7">
        <v>200</v>
      </c>
    </row>
    <row r="9" spans="1:8">
      <c r="A9" s="4" t="s">
        <v>13</v>
      </c>
      <c r="B9" s="4">
        <v>80</v>
      </c>
      <c r="C9" s="4" t="s">
        <v>14</v>
      </c>
      <c r="D9" s="4" t="s">
        <v>15</v>
      </c>
      <c r="F9" s="7" t="s">
        <v>23</v>
      </c>
      <c r="G9" s="7">
        <v>0.45</v>
      </c>
    </row>
    <row r="12" spans="1:8" ht="14.65">
      <c r="A12" s="3" t="s">
        <v>24</v>
      </c>
      <c r="B12" s="3"/>
      <c r="C12" s="3"/>
      <c r="D12" s="3"/>
      <c r="E12" s="3"/>
      <c r="F12" s="3"/>
      <c r="G12" s="3"/>
      <c r="H12" s="3"/>
    </row>
    <row r="13" spans="1:8" ht="25.05" customHeight="1">
      <c r="A13" s="8" t="s">
        <v>25</v>
      </c>
      <c r="B13" s="8"/>
      <c r="C13" s="8"/>
      <c r="D13" s="8"/>
      <c r="E13" s="8"/>
      <c r="F13" s="8"/>
      <c r="G13" s="8"/>
      <c r="H13" s="8"/>
    </row>
    <row r="14" spans="1:8" ht="25.05" customHeight="1">
      <c r="A14" s="8" t="s">
        <v>26</v>
      </c>
      <c r="B14" s="8"/>
      <c r="C14" s="8"/>
      <c r="D14" s="8"/>
      <c r="E14" s="8"/>
      <c r="F14" s="8"/>
      <c r="G14" s="8"/>
      <c r="H14" s="8"/>
    </row>
    <row r="15" spans="1:8" ht="25.05" customHeight="1">
      <c r="A15" s="8" t="s">
        <v>27</v>
      </c>
      <c r="B15" s="8"/>
      <c r="C15" s="8"/>
      <c r="D15" s="8"/>
      <c r="E15" s="8"/>
      <c r="F15" s="8"/>
      <c r="G15" s="8"/>
      <c r="H15" s="8"/>
    </row>
    <row r="16" spans="1:8" ht="25.05" customHeight="1">
      <c r="A16" s="8" t="s">
        <v>28</v>
      </c>
      <c r="B16" s="8"/>
      <c r="C16" s="8"/>
      <c r="D16" s="8"/>
      <c r="E16" s="8"/>
      <c r="F16" s="8"/>
      <c r="G16" s="8"/>
      <c r="H16" s="8"/>
    </row>
    <row r="17" spans="1:8" ht="25.05" customHeight="1">
      <c r="A17" s="8" t="s">
        <v>29</v>
      </c>
      <c r="B17" s="8"/>
      <c r="C17" s="8"/>
      <c r="D17" s="8"/>
      <c r="E17" s="8"/>
      <c r="F17" s="8"/>
      <c r="G17" s="8"/>
      <c r="H17" s="8"/>
    </row>
  </sheetData>
  <mergeCells count="4">
    <mergeCell ref="A1:H1"/>
    <mergeCell ref="A3:D3"/>
    <mergeCell ref="F3:G3"/>
    <mergeCell ref="A12:H1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统计分析</vt:lpstr>
      <vt:lpstr>结果排名</vt:lpstr>
      <vt:lpstr>原始数据</vt:lpstr>
      <vt:lpstr>实验概览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 凌</dc:creator>
  <cp:lastModifiedBy>瑞 凌</cp:lastModifiedBy>
  <dcterms:created xsi:type="dcterms:W3CDTF">2026-07-29T01:56:34Z</dcterms:created>
  <dcterms:modified xsi:type="dcterms:W3CDTF">2026-07-29T01:56:41Z</dcterms:modified>
</cp:coreProperties>
</file>