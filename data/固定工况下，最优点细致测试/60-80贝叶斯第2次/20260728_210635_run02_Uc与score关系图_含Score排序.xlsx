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实验数据\10， Ua100，Ia80 最终成果\60-80贝叶斯第2次\文字报告\"/>
    </mc:Choice>
  </mc:AlternateContent>
  <xr:revisionPtr revIDLastSave="0" documentId="8_{525F7555-071A-4E36-84CB-1B2177E8275B}" xr6:coauthVersionLast="47" xr6:coauthVersionMax="47" xr10:uidLastSave="{00000000-0000-0000-0000-000000000000}"/>
  <bookViews>
    <workbookView xWindow="-98" yWindow="-98" windowWidth="23596" windowHeight="15076" xr2:uid="{8808FB6F-BCA9-4044-9B45-8946846DA909}"/>
  </bookViews>
  <sheets>
    <sheet name="弃用候选" sheetId="5" r:id="rId1"/>
    <sheet name="Uc分段统计" sheetId="4" r:id="rId2"/>
    <sheet name="Score排序" sheetId="3" r:id="rId3"/>
    <sheet name="有效原始数据" sheetId="2" r:id="rId4"/>
    <sheet name="Uc-score关系图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</calcChain>
</file>

<file path=xl/sharedStrings.xml><?xml version="1.0" encoding="utf-8"?>
<sst xmlns="http://schemas.openxmlformats.org/spreadsheetml/2006/main" count="111" uniqueCount="44">
  <si>
    <t>迭代</t>
  </si>
  <si>
    <t>Uc设定(V)</t>
  </si>
  <si>
    <t>Uc反馈(V)</t>
  </si>
  <si>
    <t>Uc反馈差(V)</t>
  </si>
  <si>
    <t>score</t>
  </si>
  <si>
    <t>x1</t>
  </si>
  <si>
    <t>x2</t>
  </si>
  <si>
    <t>Ua反馈(kV)</t>
  </si>
  <si>
    <t>Ug反馈(V)</t>
  </si>
  <si>
    <t>三拍相对差</t>
  </si>
  <si>
    <t>排名</t>
  </si>
  <si>
    <t>接受拍次</t>
  </si>
  <si>
    <t>第1拍score</t>
  </si>
  <si>
    <t>第2拍score</t>
  </si>
  <si>
    <t>第3拍score</t>
  </si>
  <si>
    <t>1, 3</t>
  </si>
  <si>
    <t>1, 2</t>
  </si>
  <si>
    <t>2, 3</t>
  </si>
  <si>
    <t>Uc区间(V)</t>
  </si>
  <si>
    <t>候选数</t>
  </si>
  <si>
    <t>平均score</t>
  </si>
  <si>
    <t>中位数score</t>
  </si>
  <si>
    <t>最低score</t>
  </si>
  <si>
    <t>最高score</t>
  </si>
  <si>
    <t>500–550</t>
  </si>
  <si>
    <t>550–600</t>
  </si>
  <si>
    <t>600–650</t>
  </si>
  <si>
    <t>650–675</t>
  </si>
  <si>
    <t>675–700</t>
  </si>
  <si>
    <t>700–750</t>
  </si>
  <si>
    <t>本报告目录未提供失败记录文件</t>
  </si>
  <si>
    <t>Uc 与 score 关系图（运行 20260728_210635_run02）</t>
  </si>
  <si>
    <t>指标</t>
  </si>
  <si>
    <t>数值</t>
  </si>
  <si>
    <t>结论</t>
  </si>
  <si>
    <t>有效候选数</t>
  </si>
  <si>
    <t>最佳 Uc设定(V)</t>
  </si>
  <si>
    <t>最低 score</t>
  </si>
  <si>
    <t>Pearson r</t>
  </si>
  <si>
    <t>线性模型 R²</t>
  </si>
  <si>
    <t>最佳点</t>
  </si>
  <si>
    <t>最低 score=30.1394，出现在 Uc=543 V（迭代 33）。</t>
  </si>
  <si>
    <t>说明</t>
  </si>
  <si>
    <t>完整数据、Score 排序及 Uc 分段统计见对应工作表。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</si>
</sst>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%"/>
  </numFmts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Microsoft YaHei"/>
      <family val="2"/>
      <charset val="134"/>
    </font>
    <font>
      <b/>
      <sz val="9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10">
    <border>
      <left/>
      <right/>
      <top/>
      <bottom/>
      <diagonal/>
    </border>
    <border>
      <left style="thin">
        <color rgb="FFD4DEE6"/>
      </left>
      <right style="thin">
        <color rgb="FFD4DEE6"/>
      </right>
      <top style="thin">
        <color rgb="FFD4DEE6"/>
      </top>
      <bottom style="thin">
        <color rgb="FFD4DEE6"/>
      </bottom>
      <diagonal/>
    </border>
    <border>
      <left/>
      <right style="thin">
        <color rgb="FFD4DEE6"/>
      </right>
      <top style="thin">
        <color rgb="FFD4DEE6"/>
      </top>
      <bottom style="thin">
        <color rgb="FFD4DEE6"/>
      </bottom>
      <diagonal/>
    </border>
    <border>
      <left style="thin">
        <color rgb="FFD4DEE6"/>
      </left>
      <right/>
      <top style="thin">
        <color rgb="FFD4DEE6"/>
      </top>
      <bottom style="thin">
        <color rgb="FFD4DEE6"/>
      </bottom>
      <diagonal/>
    </border>
    <border>
      <left/>
      <right style="thin">
        <color rgb="FFD4DEE6"/>
      </right>
      <top/>
      <bottom style="thin">
        <color rgb="FFD4DEE6"/>
      </bottom>
      <diagonal/>
    </border>
    <border>
      <left style="thin">
        <color rgb="FFD4DEE6"/>
      </left>
      <right style="thin">
        <color rgb="FFD4DEE6"/>
      </right>
      <top/>
      <bottom style="thin">
        <color rgb="FFD4DEE6"/>
      </bottom>
      <diagonal/>
    </border>
    <border>
      <left style="thin">
        <color rgb="FFD4DEE6"/>
      </left>
      <right/>
      <top/>
      <bottom style="thin">
        <color rgb="FFD4DEE6"/>
      </bottom>
      <diagonal/>
    </border>
    <border>
      <left/>
      <right style="thin">
        <color rgb="FFD4DEE6"/>
      </right>
      <top style="thin">
        <color rgb="FFD4DEE6"/>
      </top>
      <bottom/>
      <diagonal/>
    </border>
    <border>
      <left style="thin">
        <color rgb="FFD4DEE6"/>
      </left>
      <right style="thin">
        <color rgb="FFD4DEE6"/>
      </right>
      <top style="thin">
        <color rgb="FFD4DEE6"/>
      </top>
      <bottom/>
      <diagonal/>
    </border>
    <border>
      <left style="thin">
        <color rgb="FFD4DEE6"/>
      </left>
      <right/>
      <top style="thin">
        <color rgb="FFD4DEE6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0" fontId="2" fillId="0" borderId="2" xfId="0" applyFont="1" applyFill="1" applyBorder="1">
      <alignment vertical="center"/>
    </xf>
    <xf numFmtId="177" fontId="2" fillId="0" borderId="3" xfId="0" applyNumberFormat="1" applyFont="1" applyFill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176" fontId="2" fillId="0" borderId="8" xfId="0" applyNumberFormat="1" applyFont="1" applyFill="1" applyBorder="1">
      <alignment vertical="center"/>
    </xf>
    <xf numFmtId="177" fontId="2" fillId="0" borderId="9" xfId="0" applyNumberFormat="1" applyFont="1" applyFill="1" applyBorder="1">
      <alignment vertical="center"/>
    </xf>
    <xf numFmtId="176" fontId="2" fillId="0" borderId="3" xfId="0" applyNumberFormat="1" applyFont="1" applyFill="1" applyBorder="1">
      <alignment vertical="center"/>
    </xf>
    <xf numFmtId="0" fontId="2" fillId="0" borderId="8" xfId="0" applyFont="1" applyFill="1" applyBorder="1">
      <alignment vertical="center"/>
    </xf>
    <xf numFmtId="177" fontId="2" fillId="0" borderId="8" xfId="0" applyNumberFormat="1" applyFont="1" applyFill="1" applyBorder="1">
      <alignment vertical="center"/>
    </xf>
    <xf numFmtId="176" fontId="2" fillId="0" borderId="9" xfId="0" applyNumberFormat="1" applyFont="1" applyFill="1" applyBorder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</cellXfs>
  <cellStyles count="1">
    <cellStyle name="常规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F2F4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4DEE6"/>
        </left>
        <right style="thin">
          <color rgb="FFD4DE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/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7" formatCode="0.0%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border outline="0">
        <top style="thin">
          <color rgb="FFD4DEE6"/>
        </top>
      </border>
    </dxf>
    <dxf>
      <border outline="0">
        <bottom style="thin">
          <color rgb="FFD4DEE6"/>
        </bottom>
      </border>
    </dxf>
    <dxf>
      <border outline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F2F4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4DEE6"/>
        </left>
        <right style="thin">
          <color rgb="FFD4DE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7" formatCode="0.0%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/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border outline="0">
        <top style="thin">
          <color rgb="FFD4DEE6"/>
        </top>
      </border>
    </dxf>
    <dxf>
      <border outline="0">
        <bottom style="thin">
          <color rgb="FFD4DEE6"/>
        </bottom>
      </border>
    </dxf>
    <dxf>
      <border outline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300">
                <a:latin typeface="Microsoft YaHei"/>
                <a:ea typeface="Microsoft YaHei"/>
                <a:cs typeface="Microsoft YaHei"/>
              </a:defRPr>
            </a:pPr>
            <a:r>
              <a:rPr lang="en-US"/>
              <a:t>Uc</a:t>
            </a:r>
            <a:r>
              <a:rPr lang="zh-CN"/>
              <a:t>设定值与 </a:t>
            </a:r>
            <a:r>
              <a:rPr lang="en-US"/>
              <a:t>score</a:t>
            </a:r>
            <a:r>
              <a:rPr lang="zh-CN"/>
              <a:t>（每点对应一轮）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2E74B5"/>
              </a:solidFill>
              <a:ln/>
            </c:spPr>
          </c:marker>
          <c:xVal>
            <c:numRef>
              <c:f>有效原始数据!$B$2:$B$61</c:f>
              <c:numCache>
                <c:formatCode>0.0000</c:formatCode>
                <c:ptCount val="60"/>
                <c:pt idx="0">
                  <c:v>505</c:v>
                </c:pt>
                <c:pt idx="1">
                  <c:v>547</c:v>
                </c:pt>
                <c:pt idx="2">
                  <c:v>522</c:v>
                </c:pt>
                <c:pt idx="3">
                  <c:v>620</c:v>
                </c:pt>
                <c:pt idx="4">
                  <c:v>561</c:v>
                </c:pt>
                <c:pt idx="5">
                  <c:v>572</c:v>
                </c:pt>
                <c:pt idx="6">
                  <c:v>689</c:v>
                </c:pt>
                <c:pt idx="7">
                  <c:v>674</c:v>
                </c:pt>
                <c:pt idx="8">
                  <c:v>591</c:v>
                </c:pt>
                <c:pt idx="9">
                  <c:v>640</c:v>
                </c:pt>
                <c:pt idx="10">
                  <c:v>735</c:v>
                </c:pt>
                <c:pt idx="11">
                  <c:v>660</c:v>
                </c:pt>
                <c:pt idx="12">
                  <c:v>722</c:v>
                </c:pt>
                <c:pt idx="13">
                  <c:v>604</c:v>
                </c:pt>
                <c:pt idx="14">
                  <c:v>701</c:v>
                </c:pt>
                <c:pt idx="15">
                  <c:v>750</c:v>
                </c:pt>
                <c:pt idx="16">
                  <c:v>535</c:v>
                </c:pt>
                <c:pt idx="17">
                  <c:v>630</c:v>
                </c:pt>
                <c:pt idx="18">
                  <c:v>651</c:v>
                </c:pt>
                <c:pt idx="19">
                  <c:v>581</c:v>
                </c:pt>
                <c:pt idx="20">
                  <c:v>546</c:v>
                </c:pt>
                <c:pt idx="21">
                  <c:v>548</c:v>
                </c:pt>
                <c:pt idx="22">
                  <c:v>545</c:v>
                </c:pt>
                <c:pt idx="23">
                  <c:v>711</c:v>
                </c:pt>
                <c:pt idx="24">
                  <c:v>612</c:v>
                </c:pt>
                <c:pt idx="25">
                  <c:v>667</c:v>
                </c:pt>
                <c:pt idx="26">
                  <c:v>555</c:v>
                </c:pt>
                <c:pt idx="27">
                  <c:v>681</c:v>
                </c:pt>
                <c:pt idx="28">
                  <c:v>742</c:v>
                </c:pt>
                <c:pt idx="29">
                  <c:v>598</c:v>
                </c:pt>
                <c:pt idx="30">
                  <c:v>549</c:v>
                </c:pt>
                <c:pt idx="31">
                  <c:v>544</c:v>
                </c:pt>
                <c:pt idx="32">
                  <c:v>543</c:v>
                </c:pt>
                <c:pt idx="33">
                  <c:v>625</c:v>
                </c:pt>
                <c:pt idx="34">
                  <c:v>695</c:v>
                </c:pt>
                <c:pt idx="35">
                  <c:v>728</c:v>
                </c:pt>
                <c:pt idx="36">
                  <c:v>586</c:v>
                </c:pt>
                <c:pt idx="37">
                  <c:v>635</c:v>
                </c:pt>
                <c:pt idx="38">
                  <c:v>646</c:v>
                </c:pt>
                <c:pt idx="39">
                  <c:v>706</c:v>
                </c:pt>
                <c:pt idx="40">
                  <c:v>542</c:v>
                </c:pt>
                <c:pt idx="41">
                  <c:v>541</c:v>
                </c:pt>
                <c:pt idx="42">
                  <c:v>540</c:v>
                </c:pt>
                <c:pt idx="43">
                  <c:v>567</c:v>
                </c:pt>
                <c:pt idx="44">
                  <c:v>685</c:v>
                </c:pt>
                <c:pt idx="45">
                  <c:v>716</c:v>
                </c:pt>
                <c:pt idx="46">
                  <c:v>616</c:v>
                </c:pt>
                <c:pt idx="47">
                  <c:v>655</c:v>
                </c:pt>
                <c:pt idx="48">
                  <c:v>576</c:v>
                </c:pt>
                <c:pt idx="49">
                  <c:v>608</c:v>
                </c:pt>
                <c:pt idx="50">
                  <c:v>539</c:v>
                </c:pt>
                <c:pt idx="51">
                  <c:v>538</c:v>
                </c:pt>
                <c:pt idx="52">
                  <c:v>537</c:v>
                </c:pt>
                <c:pt idx="53">
                  <c:v>746</c:v>
                </c:pt>
                <c:pt idx="54">
                  <c:v>595</c:v>
                </c:pt>
                <c:pt idx="55">
                  <c:v>677</c:v>
                </c:pt>
                <c:pt idx="56">
                  <c:v>643</c:v>
                </c:pt>
                <c:pt idx="57">
                  <c:v>663</c:v>
                </c:pt>
                <c:pt idx="58">
                  <c:v>719</c:v>
                </c:pt>
                <c:pt idx="59">
                  <c:v>564</c:v>
                </c:pt>
              </c:numCache>
            </c:numRef>
          </c:xVal>
          <c:yVal>
            <c:numRef>
              <c:f>有效原始数据!$E$2:$E$61</c:f>
              <c:numCache>
                <c:formatCode>0.0000</c:formatCode>
                <c:ptCount val="60"/>
                <c:pt idx="0">
                  <c:v>34.09225</c:v>
                </c:pt>
                <c:pt idx="1">
                  <c:v>30.624400000000001</c:v>
                </c:pt>
                <c:pt idx="2">
                  <c:v>34.555349999999997</c:v>
                </c:pt>
                <c:pt idx="3">
                  <c:v>31.8338</c:v>
                </c:pt>
                <c:pt idx="4">
                  <c:v>34.701650000000001</c:v>
                </c:pt>
                <c:pt idx="5">
                  <c:v>42.854999999999997</c:v>
                </c:pt>
                <c:pt idx="6">
                  <c:v>34.741299999999995</c:v>
                </c:pt>
                <c:pt idx="7">
                  <c:v>33.606700000000004</c:v>
                </c:pt>
                <c:pt idx="8">
                  <c:v>35.656099999999995</c:v>
                </c:pt>
                <c:pt idx="9">
                  <c:v>32.570050000000002</c:v>
                </c:pt>
                <c:pt idx="10">
                  <c:v>35.955199999999998</c:v>
                </c:pt>
                <c:pt idx="11">
                  <c:v>33.328450000000004</c:v>
                </c:pt>
                <c:pt idx="12">
                  <c:v>36.113799999999998</c:v>
                </c:pt>
                <c:pt idx="13">
                  <c:v>36.991600000000005</c:v>
                </c:pt>
                <c:pt idx="14">
                  <c:v>34.650400000000005</c:v>
                </c:pt>
                <c:pt idx="15">
                  <c:v>35.799350000000004</c:v>
                </c:pt>
                <c:pt idx="16">
                  <c:v>33.67445</c:v>
                </c:pt>
                <c:pt idx="17">
                  <c:v>32.669350000000001</c:v>
                </c:pt>
                <c:pt idx="18">
                  <c:v>32.448099999999997</c:v>
                </c:pt>
                <c:pt idx="19">
                  <c:v>45.274700000000003</c:v>
                </c:pt>
                <c:pt idx="20">
                  <c:v>34.574399999999997</c:v>
                </c:pt>
                <c:pt idx="21">
                  <c:v>34.223200000000006</c:v>
                </c:pt>
                <c:pt idx="22">
                  <c:v>34.647400000000005</c:v>
                </c:pt>
                <c:pt idx="23">
                  <c:v>35.140749999999997</c:v>
                </c:pt>
                <c:pt idx="24">
                  <c:v>36.939900000000002</c:v>
                </c:pt>
                <c:pt idx="25">
                  <c:v>34.139600000000002</c:v>
                </c:pt>
                <c:pt idx="26">
                  <c:v>35.2866</c:v>
                </c:pt>
                <c:pt idx="27">
                  <c:v>34.306550000000001</c:v>
                </c:pt>
                <c:pt idx="28">
                  <c:v>36.296250000000001</c:v>
                </c:pt>
                <c:pt idx="29">
                  <c:v>36.534550000000003</c:v>
                </c:pt>
                <c:pt idx="30">
                  <c:v>34.9345</c:v>
                </c:pt>
                <c:pt idx="31">
                  <c:v>30.511050000000001</c:v>
                </c:pt>
                <c:pt idx="32">
                  <c:v>30.139399999999998</c:v>
                </c:pt>
                <c:pt idx="33">
                  <c:v>32.122699999999995</c:v>
                </c:pt>
                <c:pt idx="34">
                  <c:v>34.748449999999998</c:v>
                </c:pt>
                <c:pt idx="35">
                  <c:v>35.440249999999999</c:v>
                </c:pt>
                <c:pt idx="36">
                  <c:v>43.626049999999999</c:v>
                </c:pt>
                <c:pt idx="37">
                  <c:v>32.3917</c:v>
                </c:pt>
                <c:pt idx="38">
                  <c:v>32.391400000000004</c:v>
                </c:pt>
                <c:pt idx="39">
                  <c:v>35.390100000000004</c:v>
                </c:pt>
                <c:pt idx="40">
                  <c:v>34.959999999999994</c:v>
                </c:pt>
                <c:pt idx="41">
                  <c:v>30.471250000000001</c:v>
                </c:pt>
                <c:pt idx="42">
                  <c:v>35.004599999999996</c:v>
                </c:pt>
                <c:pt idx="43">
                  <c:v>34.902649999999994</c:v>
                </c:pt>
                <c:pt idx="44">
                  <c:v>34.501549999999995</c:v>
                </c:pt>
                <c:pt idx="45">
                  <c:v>35.771249999999995</c:v>
                </c:pt>
                <c:pt idx="46">
                  <c:v>31.418100000000003</c:v>
                </c:pt>
                <c:pt idx="47">
                  <c:v>33.055</c:v>
                </c:pt>
                <c:pt idx="48">
                  <c:v>94.415649999999999</c:v>
                </c:pt>
                <c:pt idx="49">
                  <c:v>32.116950000000003</c:v>
                </c:pt>
                <c:pt idx="50">
                  <c:v>34.716250000000002</c:v>
                </c:pt>
                <c:pt idx="51">
                  <c:v>30.721649999999997</c:v>
                </c:pt>
                <c:pt idx="52">
                  <c:v>30.1754</c:v>
                </c:pt>
                <c:pt idx="53">
                  <c:v>36.67895</c:v>
                </c:pt>
                <c:pt idx="54">
                  <c:v>36.105999999999995</c:v>
                </c:pt>
                <c:pt idx="55">
                  <c:v>33.638300000000001</c:v>
                </c:pt>
                <c:pt idx="56">
                  <c:v>31.869499999999999</c:v>
                </c:pt>
                <c:pt idx="57">
                  <c:v>33.377750000000006</c:v>
                </c:pt>
                <c:pt idx="58">
                  <c:v>36.470100000000002</c:v>
                </c:pt>
                <c:pt idx="59">
                  <c:v>35.487650000000002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BA-4F73-9973-1BD737390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205071"/>
        <c:axId val="1187043983"/>
      </c:scatterChart>
      <c:valAx>
        <c:axId val="1321205071"/>
        <c:scaling>
          <c:orientation val="minMax"/>
          <c:max val="750"/>
          <c:min val="5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Uc</a:t>
                </a:r>
                <a:r>
                  <a:rPr lang="zh-CN" altLang="en-US"/>
                  <a:t>设定值 </a:t>
                </a:r>
                <a:r>
                  <a:rPr lang="en-US" altLang="zh-CN"/>
                  <a:t>(V)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187043983"/>
        <c:crosses val="autoZero"/>
        <c:crossBetween val="midCat"/>
        <c:majorUnit val="25"/>
      </c:valAx>
      <c:valAx>
        <c:axId val="1187043983"/>
        <c:scaling>
          <c:orientation val="minMax"/>
          <c:max val="50"/>
          <c:min val="20"/>
        </c:scaling>
        <c:delete val="0"/>
        <c:axPos val="l"/>
        <c:majorGridlines>
          <c:spPr>
            <a:ln>
              <a:solidFill>
                <a:srgbClr val="D5E0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score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321205071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300">
                <a:latin typeface="Microsoft YaHei"/>
                <a:ea typeface="Microsoft YaHei"/>
                <a:cs typeface="Microsoft YaHei"/>
              </a:defRPr>
            </a:pPr>
            <a:r>
              <a:rPr lang="en-US"/>
              <a:t>Uc</a:t>
            </a:r>
            <a:r>
              <a:rPr lang="zh-CN"/>
              <a:t>反馈值与 </a:t>
            </a:r>
            <a:r>
              <a:rPr lang="en-US"/>
              <a:t>score</a:t>
            </a:r>
            <a:r>
              <a:rPr lang="zh-CN"/>
              <a:t>（每点对应一轮）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2E74B5"/>
              </a:solidFill>
              <a:ln/>
            </c:spPr>
          </c:marker>
          <c:xVal>
            <c:numRef>
              <c:f>有效原始数据!$C$2:$C$61</c:f>
              <c:numCache>
                <c:formatCode>0.0000</c:formatCode>
                <c:ptCount val="60"/>
                <c:pt idx="0">
                  <c:v>509.15750915750914</c:v>
                </c:pt>
                <c:pt idx="1">
                  <c:v>550.67155067155068</c:v>
                </c:pt>
                <c:pt idx="2">
                  <c:v>526.25152625152623</c:v>
                </c:pt>
                <c:pt idx="3">
                  <c:v>623.9316239316239</c:v>
                </c:pt>
                <c:pt idx="4">
                  <c:v>564.71306471306468</c:v>
                </c:pt>
                <c:pt idx="5">
                  <c:v>575.70207570207572</c:v>
                </c:pt>
                <c:pt idx="6">
                  <c:v>693.52869352869357</c:v>
                </c:pt>
                <c:pt idx="7">
                  <c:v>678.87667887667885</c:v>
                </c:pt>
                <c:pt idx="8">
                  <c:v>595.23809523809518</c:v>
                </c:pt>
                <c:pt idx="9">
                  <c:v>644.68864468864467</c:v>
                </c:pt>
                <c:pt idx="10">
                  <c:v>739.31623931623926</c:v>
                </c:pt>
                <c:pt idx="11">
                  <c:v>664.83516483516485</c:v>
                </c:pt>
                <c:pt idx="12">
                  <c:v>726.49572649572644</c:v>
                </c:pt>
                <c:pt idx="13">
                  <c:v>608.05860805860812</c:v>
                </c:pt>
                <c:pt idx="14">
                  <c:v>705.73870573870579</c:v>
                </c:pt>
                <c:pt idx="15">
                  <c:v>754.57875457875457</c:v>
                </c:pt>
                <c:pt idx="16">
                  <c:v>539.07203907203905</c:v>
                </c:pt>
                <c:pt idx="17">
                  <c:v>634.31013431013434</c:v>
                </c:pt>
                <c:pt idx="18">
                  <c:v>655.67765567765571</c:v>
                </c:pt>
                <c:pt idx="19">
                  <c:v>584.85958485958486</c:v>
                </c:pt>
                <c:pt idx="20">
                  <c:v>550.06105006105008</c:v>
                </c:pt>
                <c:pt idx="21">
                  <c:v>551.89255189255186</c:v>
                </c:pt>
                <c:pt idx="22">
                  <c:v>548.84004884004889</c:v>
                </c:pt>
                <c:pt idx="23">
                  <c:v>715.50671550671552</c:v>
                </c:pt>
                <c:pt idx="24">
                  <c:v>616.60561660561666</c:v>
                </c:pt>
                <c:pt idx="25">
                  <c:v>671.5506715506715</c:v>
                </c:pt>
                <c:pt idx="26">
                  <c:v>559.21855921855922</c:v>
                </c:pt>
                <c:pt idx="27">
                  <c:v>685.59218559218561</c:v>
                </c:pt>
                <c:pt idx="28">
                  <c:v>746.64224664224662</c:v>
                </c:pt>
                <c:pt idx="29">
                  <c:v>601.95360195360195</c:v>
                </c:pt>
                <c:pt idx="30">
                  <c:v>553.11355311355317</c:v>
                </c:pt>
                <c:pt idx="31">
                  <c:v>548.22954822954819</c:v>
                </c:pt>
                <c:pt idx="32">
                  <c:v>547.008547008547</c:v>
                </c:pt>
                <c:pt idx="33">
                  <c:v>629.42612942612948</c:v>
                </c:pt>
                <c:pt idx="34">
                  <c:v>699.63369963369962</c:v>
                </c:pt>
                <c:pt idx="35">
                  <c:v>732.60073260073261</c:v>
                </c:pt>
                <c:pt idx="36">
                  <c:v>589.74358974358972</c:v>
                </c:pt>
                <c:pt idx="37">
                  <c:v>639.80463980463981</c:v>
                </c:pt>
                <c:pt idx="38">
                  <c:v>650.79365079365084</c:v>
                </c:pt>
                <c:pt idx="39">
                  <c:v>710.62271062271066</c:v>
                </c:pt>
                <c:pt idx="40">
                  <c:v>545.78754578754581</c:v>
                </c:pt>
                <c:pt idx="41">
                  <c:v>545.17704517704522</c:v>
                </c:pt>
                <c:pt idx="42">
                  <c:v>543.95604395604391</c:v>
                </c:pt>
                <c:pt idx="43">
                  <c:v>570.81807081807085</c:v>
                </c:pt>
                <c:pt idx="44">
                  <c:v>689.86568986568989</c:v>
                </c:pt>
                <c:pt idx="45">
                  <c:v>720.39072039072039</c:v>
                </c:pt>
                <c:pt idx="46">
                  <c:v>620.26862026862023</c:v>
                </c:pt>
                <c:pt idx="47">
                  <c:v>659.34065934065939</c:v>
                </c:pt>
                <c:pt idx="48">
                  <c:v>579.97557997557999</c:v>
                </c:pt>
                <c:pt idx="49">
                  <c:v>611.72161172161168</c:v>
                </c:pt>
                <c:pt idx="50">
                  <c:v>542.73504273504273</c:v>
                </c:pt>
                <c:pt idx="51">
                  <c:v>542.12454212454213</c:v>
                </c:pt>
                <c:pt idx="52">
                  <c:v>540.90354090354094</c:v>
                </c:pt>
                <c:pt idx="53">
                  <c:v>750.3052503052503</c:v>
                </c:pt>
                <c:pt idx="54">
                  <c:v>598.90109890109886</c:v>
                </c:pt>
                <c:pt idx="55">
                  <c:v>681.31868131868134</c:v>
                </c:pt>
                <c:pt idx="56">
                  <c:v>647.74114774114776</c:v>
                </c:pt>
                <c:pt idx="57">
                  <c:v>667.27716727716722</c:v>
                </c:pt>
                <c:pt idx="58">
                  <c:v>723.44322344322347</c:v>
                </c:pt>
                <c:pt idx="59">
                  <c:v>567.76556776556777</c:v>
                </c:pt>
              </c:numCache>
            </c:numRef>
          </c:xVal>
          <c:yVal>
            <c:numRef>
              <c:f>有效原始数据!$E$2:$E$61</c:f>
              <c:numCache>
                <c:formatCode>0.0000</c:formatCode>
                <c:ptCount val="60"/>
                <c:pt idx="0">
                  <c:v>34.09225</c:v>
                </c:pt>
                <c:pt idx="1">
                  <c:v>30.624400000000001</c:v>
                </c:pt>
                <c:pt idx="2">
                  <c:v>34.555349999999997</c:v>
                </c:pt>
                <c:pt idx="3">
                  <c:v>31.8338</c:v>
                </c:pt>
                <c:pt idx="4">
                  <c:v>34.701650000000001</c:v>
                </c:pt>
                <c:pt idx="5">
                  <c:v>42.854999999999997</c:v>
                </c:pt>
                <c:pt idx="6">
                  <c:v>34.741299999999995</c:v>
                </c:pt>
                <c:pt idx="7">
                  <c:v>33.606700000000004</c:v>
                </c:pt>
                <c:pt idx="8">
                  <c:v>35.656099999999995</c:v>
                </c:pt>
                <c:pt idx="9">
                  <c:v>32.570050000000002</c:v>
                </c:pt>
                <c:pt idx="10">
                  <c:v>35.955199999999998</c:v>
                </c:pt>
                <c:pt idx="11">
                  <c:v>33.328450000000004</c:v>
                </c:pt>
                <c:pt idx="12">
                  <c:v>36.113799999999998</c:v>
                </c:pt>
                <c:pt idx="13">
                  <c:v>36.991600000000005</c:v>
                </c:pt>
                <c:pt idx="14">
                  <c:v>34.650400000000005</c:v>
                </c:pt>
                <c:pt idx="15">
                  <c:v>35.799350000000004</c:v>
                </c:pt>
                <c:pt idx="16">
                  <c:v>33.67445</c:v>
                </c:pt>
                <c:pt idx="17">
                  <c:v>32.669350000000001</c:v>
                </c:pt>
                <c:pt idx="18">
                  <c:v>32.448099999999997</c:v>
                </c:pt>
                <c:pt idx="19">
                  <c:v>45.274700000000003</c:v>
                </c:pt>
                <c:pt idx="20">
                  <c:v>34.574399999999997</c:v>
                </c:pt>
                <c:pt idx="21">
                  <c:v>34.223200000000006</c:v>
                </c:pt>
                <c:pt idx="22">
                  <c:v>34.647400000000005</c:v>
                </c:pt>
                <c:pt idx="23">
                  <c:v>35.140749999999997</c:v>
                </c:pt>
                <c:pt idx="24">
                  <c:v>36.939900000000002</c:v>
                </c:pt>
                <c:pt idx="25">
                  <c:v>34.139600000000002</c:v>
                </c:pt>
                <c:pt idx="26">
                  <c:v>35.2866</c:v>
                </c:pt>
                <c:pt idx="27">
                  <c:v>34.306550000000001</c:v>
                </c:pt>
                <c:pt idx="28">
                  <c:v>36.296250000000001</c:v>
                </c:pt>
                <c:pt idx="29">
                  <c:v>36.534550000000003</c:v>
                </c:pt>
                <c:pt idx="30">
                  <c:v>34.9345</c:v>
                </c:pt>
                <c:pt idx="31">
                  <c:v>30.511050000000001</c:v>
                </c:pt>
                <c:pt idx="32">
                  <c:v>30.139399999999998</c:v>
                </c:pt>
                <c:pt idx="33">
                  <c:v>32.122699999999995</c:v>
                </c:pt>
                <c:pt idx="34">
                  <c:v>34.748449999999998</c:v>
                </c:pt>
                <c:pt idx="35">
                  <c:v>35.440249999999999</c:v>
                </c:pt>
                <c:pt idx="36">
                  <c:v>43.626049999999999</c:v>
                </c:pt>
                <c:pt idx="37">
                  <c:v>32.3917</c:v>
                </c:pt>
                <c:pt idx="38">
                  <c:v>32.391400000000004</c:v>
                </c:pt>
                <c:pt idx="39">
                  <c:v>35.390100000000004</c:v>
                </c:pt>
                <c:pt idx="40">
                  <c:v>34.959999999999994</c:v>
                </c:pt>
                <c:pt idx="41">
                  <c:v>30.471250000000001</c:v>
                </c:pt>
                <c:pt idx="42">
                  <c:v>35.004599999999996</c:v>
                </c:pt>
                <c:pt idx="43">
                  <c:v>34.902649999999994</c:v>
                </c:pt>
                <c:pt idx="44">
                  <c:v>34.501549999999995</c:v>
                </c:pt>
                <c:pt idx="45">
                  <c:v>35.771249999999995</c:v>
                </c:pt>
                <c:pt idx="46">
                  <c:v>31.418100000000003</c:v>
                </c:pt>
                <c:pt idx="47">
                  <c:v>33.055</c:v>
                </c:pt>
                <c:pt idx="48">
                  <c:v>94.415649999999999</c:v>
                </c:pt>
                <c:pt idx="49">
                  <c:v>32.116950000000003</c:v>
                </c:pt>
                <c:pt idx="50">
                  <c:v>34.716250000000002</c:v>
                </c:pt>
                <c:pt idx="51">
                  <c:v>30.721649999999997</c:v>
                </c:pt>
                <c:pt idx="52">
                  <c:v>30.1754</c:v>
                </c:pt>
                <c:pt idx="53">
                  <c:v>36.67895</c:v>
                </c:pt>
                <c:pt idx="54">
                  <c:v>36.105999999999995</c:v>
                </c:pt>
                <c:pt idx="55">
                  <c:v>33.638300000000001</c:v>
                </c:pt>
                <c:pt idx="56">
                  <c:v>31.869499999999999</c:v>
                </c:pt>
                <c:pt idx="57">
                  <c:v>33.377750000000006</c:v>
                </c:pt>
                <c:pt idx="58">
                  <c:v>36.470100000000002</c:v>
                </c:pt>
                <c:pt idx="59">
                  <c:v>35.487650000000002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24-450F-AE49-06529023A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22175"/>
        <c:axId val="1317830063"/>
      </c:scatterChart>
      <c:valAx>
        <c:axId val="1316422175"/>
        <c:scaling>
          <c:orientation val="minMax"/>
          <c:max val="750"/>
          <c:min val="5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Uc</a:t>
                </a:r>
                <a:r>
                  <a:rPr lang="zh-CN" altLang="en-US"/>
                  <a:t>反馈值 </a:t>
                </a:r>
                <a:r>
                  <a:rPr lang="en-US" altLang="zh-CN"/>
                  <a:t>(V)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317830063"/>
        <c:crosses val="autoZero"/>
        <c:crossBetween val="midCat"/>
        <c:majorUnit val="25"/>
      </c:valAx>
      <c:valAx>
        <c:axId val="1317830063"/>
        <c:scaling>
          <c:orientation val="minMax"/>
          <c:max val="50"/>
          <c:min val="20"/>
        </c:scaling>
        <c:delete val="0"/>
        <c:axPos val="l"/>
        <c:majorGridlines>
          <c:spPr>
            <a:ln>
              <a:solidFill>
                <a:srgbClr val="D5E0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score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316422175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3175</xdr:rowOff>
    </xdr:from>
    <xdr:to>
      <xdr:col>10</xdr:col>
      <xdr:colOff>117475</xdr:colOff>
      <xdr:row>37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DE5E703-0BA6-725E-24EB-8B2F561E2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371475</xdr:colOff>
      <xdr:row>15</xdr:row>
      <xdr:rowOff>3175</xdr:rowOff>
    </xdr:from>
    <xdr:to>
      <xdr:col>21</xdr:col>
      <xdr:colOff>168275</xdr:colOff>
      <xdr:row>37</xdr:row>
      <xdr:rowOff>63500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4044771-8BF2-DF2A-CD6C-AFF2933DA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E6DC8-B731-4260-AB00-795FE478A872}" name="Score排序表" displayName="Score排序表" ref="A1:O61" totalsRowShown="0" headerRowDxfId="0" dataDxfId="1" headerRowBorderDxfId="18" tableBorderDxfId="19" totalsRowBorderDxfId="17">
  <autoFilter ref="A1:O61" xr:uid="{05FE6DC8-B731-4260-AB00-795FE478A872}"/>
  <tableColumns count="15">
    <tableColumn id="1" xr3:uid="{6C3EB751-D7CD-4A42-8201-DA1FC399C33F}" name="排名" dataDxfId="16"/>
    <tableColumn id="2" xr3:uid="{DBAA14C3-A4A9-4666-84E9-81CE28A012C6}" name="迭代" dataDxfId="15"/>
    <tableColumn id="3" xr3:uid="{0FF5F917-C509-4AFB-ACEB-DDF6E3A5BFC4}" name="score" dataDxfId="14"/>
    <tableColumn id="4" xr3:uid="{FC4817D0-824C-48D8-A58E-AB8393810E20}" name="x1" dataDxfId="13"/>
    <tableColumn id="5" xr3:uid="{DAB78DCD-8408-4366-A94A-6E22ECA26A3C}" name="x2" dataDxfId="12"/>
    <tableColumn id="6" xr3:uid="{2E8DF17F-3773-4824-8BBF-6ADC861944E9}" name="Uc设定(V)" dataDxfId="11"/>
    <tableColumn id="7" xr3:uid="{E7F4164D-DCE2-45F3-85EC-23EBAB07502B}" name="Uc反馈(V)" dataDxfId="10"/>
    <tableColumn id="8" xr3:uid="{BC58E357-2AD9-4FC1-A0A2-E15F2CEB7ACD}" name="Uc反馈差(V)" dataDxfId="9"/>
    <tableColumn id="9" xr3:uid="{463D2EBC-A9BD-4827-A701-A87DBA45D08B}" name="Ua反馈(kV)" dataDxfId="8"/>
    <tableColumn id="10" xr3:uid="{874142C5-27A3-4B27-8E4B-9C70F74BCE48}" name="Ug反馈(V)" dataDxfId="7"/>
    <tableColumn id="11" xr3:uid="{D03DD048-9F97-40B7-931F-AAA2F493F641}" name="三拍相对差" dataDxfId="6"/>
    <tableColumn id="12" xr3:uid="{8A4A6806-4FFC-4EE8-B691-029308CCEFEF}" name="接受拍次" dataDxfId="5"/>
    <tableColumn id="13" xr3:uid="{F3524064-D3DD-445B-9B52-7916D1E6B4EF}" name="第1拍score" dataDxfId="4"/>
    <tableColumn id="14" xr3:uid="{8715ADA6-20AD-474D-8BB3-1B54297D19E0}" name="第2拍score" dataDxfId="3"/>
    <tableColumn id="15" xr3:uid="{AF85E706-45AB-4658-81BC-CE572A4716B6}" name="第3拍scor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4ACAC-CAF8-492E-8C58-998DB0C64A0E}" name="有效原始数据表" displayName="有效原始数据表" ref="A1:J61" totalsRowShown="0" headerRowDxfId="20" dataDxfId="21" headerRowBorderDxfId="33" tableBorderDxfId="34" totalsRowBorderDxfId="32">
  <autoFilter ref="A1:J61" xr:uid="{9894ACAC-CAF8-492E-8C58-998DB0C64A0E}"/>
  <tableColumns count="10">
    <tableColumn id="1" xr3:uid="{9A8FFE6D-B296-4A8E-BF7F-8C7091F9ECED}" name="迭代" dataDxfId="31"/>
    <tableColumn id="2" xr3:uid="{11ED6DA8-5A19-46B8-90CE-2A736E00B91F}" name="Uc设定(V)" dataDxfId="30"/>
    <tableColumn id="3" xr3:uid="{7BD8A5DE-18E3-470D-93EA-B41FF0FBBB9F}" name="Uc反馈(V)" dataDxfId="29"/>
    <tableColumn id="4" xr3:uid="{9727C181-DA75-45EB-BD39-2BE3F03DF654}" name="Uc反馈差(V)" dataDxfId="28"/>
    <tableColumn id="5" xr3:uid="{2C63FBE0-A480-47D5-8439-88EAD614B591}" name="score" dataDxfId="27"/>
    <tableColumn id="6" xr3:uid="{805E0D40-353F-4FAF-B7D2-8A2F6267D3AD}" name="x1" dataDxfId="26"/>
    <tableColumn id="7" xr3:uid="{C1A6BCCC-6AB3-4E4B-AC4A-D0A6D5ABE6DC}" name="x2" dataDxfId="25"/>
    <tableColumn id="8" xr3:uid="{C2D72EDC-E310-4B4B-B4D0-82A90C66D86C}" name="Ua反馈(kV)" dataDxfId="24"/>
    <tableColumn id="9" xr3:uid="{F5D73E4D-EA24-4214-B8DC-D69B62957D6E}" name="Ug反馈(V)" dataDxfId="23"/>
    <tableColumn id="10" xr3:uid="{0733CDCF-5DBB-4617-ACDF-B03DF277916D}" name="三拍相对差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48DF-4893-4079-8E0F-46C9CA7CB4BE}">
  <dimension ref="A1:E1"/>
  <sheetViews>
    <sheetView tabSelected="1" workbookViewId="0"/>
  </sheetViews>
  <sheetFormatPr defaultRowHeight="13.9"/>
  <sheetData>
    <row r="1" spans="1:5" ht="15.75">
      <c r="A1" s="18" t="s">
        <v>30</v>
      </c>
      <c r="B1" s="17"/>
      <c r="C1" s="17"/>
      <c r="D1" s="17"/>
      <c r="E1" s="17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C9C1-6EB7-485C-A2BF-2CE675087306}">
  <dimension ref="A1:F7"/>
  <sheetViews>
    <sheetView workbookViewId="0"/>
  </sheetViews>
  <sheetFormatPr defaultRowHeight="13.9"/>
  <cols>
    <col min="1" max="1" width="8.6640625" bestFit="1" customWidth="1"/>
    <col min="2" max="2" width="7.06640625" bestFit="1" customWidth="1"/>
    <col min="3" max="3" width="8.53125" bestFit="1" customWidth="1"/>
    <col min="4" max="4" width="10.1328125" bestFit="1" customWidth="1"/>
    <col min="5" max="6" width="8.53125" bestFit="1" customWidth="1"/>
  </cols>
  <sheetData>
    <row r="1" spans="1:6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>
      <c r="A2" s="1" t="s">
        <v>24</v>
      </c>
      <c r="B2" s="3">
        <v>16</v>
      </c>
      <c r="C2" s="3">
        <v>33.001596874999997</v>
      </c>
      <c r="D2" s="3">
        <v>34.09225</v>
      </c>
      <c r="E2" s="3">
        <v>30.139399999999998</v>
      </c>
      <c r="F2" s="3">
        <v>35.004599999999996</v>
      </c>
    </row>
    <row r="3" spans="1:6">
      <c r="A3" s="1" t="s">
        <v>25</v>
      </c>
      <c r="B3" s="3">
        <v>11</v>
      </c>
      <c r="C3" s="3">
        <v>43.167872727272723</v>
      </c>
      <c r="D3" s="3">
        <v>36.105999999999995</v>
      </c>
      <c r="E3" s="3">
        <v>34.701650000000001</v>
      </c>
      <c r="F3" s="3">
        <v>94.415649999999999</v>
      </c>
    </row>
    <row r="4" spans="1:6">
      <c r="A4" s="1" t="s">
        <v>26</v>
      </c>
      <c r="B4" s="3">
        <v>11</v>
      </c>
      <c r="C4" s="3">
        <v>33.02864090909091</v>
      </c>
      <c r="D4" s="3">
        <v>32.391400000000004</v>
      </c>
      <c r="E4" s="3">
        <v>31.418100000000003</v>
      </c>
      <c r="F4" s="3">
        <v>36.991600000000005</v>
      </c>
    </row>
    <row r="5" spans="1:6">
      <c r="A5" s="1" t="s">
        <v>27</v>
      </c>
      <c r="B5" s="3">
        <v>6</v>
      </c>
      <c r="C5" s="3">
        <v>33.325933333333332</v>
      </c>
      <c r="D5" s="3">
        <v>33.328450000000004</v>
      </c>
      <c r="E5" s="3">
        <v>32.448099999999997</v>
      </c>
      <c r="F5" s="3">
        <v>34.139600000000002</v>
      </c>
    </row>
    <row r="6" spans="1:6">
      <c r="A6" s="1" t="s">
        <v>28</v>
      </c>
      <c r="B6" s="3">
        <v>5</v>
      </c>
      <c r="C6" s="3">
        <v>34.387230000000002</v>
      </c>
      <c r="D6" s="3">
        <v>34.501549999999995</v>
      </c>
      <c r="E6" s="3">
        <v>33.638300000000001</v>
      </c>
      <c r="F6" s="3">
        <v>34.748449999999998</v>
      </c>
    </row>
    <row r="7" spans="1:6">
      <c r="A7" s="1" t="s">
        <v>29</v>
      </c>
      <c r="B7" s="3">
        <v>11</v>
      </c>
      <c r="C7" s="3">
        <v>35.791490909090903</v>
      </c>
      <c r="D7" s="3">
        <v>35.799350000000004</v>
      </c>
      <c r="E7" s="3">
        <v>34.650400000000005</v>
      </c>
      <c r="F7" s="3">
        <v>36.67895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F4C8-176B-46C6-8F0F-294B05C9C36E}">
  <dimension ref="A1:O61"/>
  <sheetViews>
    <sheetView workbookViewId="0"/>
  </sheetViews>
  <sheetFormatPr defaultRowHeight="13.9"/>
  <cols>
    <col min="1" max="2" width="5.796875" customWidth="1"/>
    <col min="3" max="5" width="7.06640625" bestFit="1" customWidth="1"/>
    <col min="6" max="7" width="10.19921875" customWidth="1"/>
    <col min="8" max="8" width="11.796875" customWidth="1"/>
    <col min="9" max="9" width="11.265625" customWidth="1"/>
    <col min="10" max="10" width="10.46484375" customWidth="1"/>
    <col min="11" max="11" width="10.59765625" customWidth="1"/>
    <col min="12" max="12" width="9" customWidth="1"/>
    <col min="13" max="15" width="11.06640625" customWidth="1"/>
  </cols>
  <sheetData>
    <row r="1" spans="1:15">
      <c r="A1" s="7" t="s">
        <v>10</v>
      </c>
      <c r="B1" s="8" t="s">
        <v>0</v>
      </c>
      <c r="C1" s="8" t="s">
        <v>4</v>
      </c>
      <c r="D1" s="8" t="s">
        <v>5</v>
      </c>
      <c r="E1" s="8" t="s">
        <v>6</v>
      </c>
      <c r="F1" s="8" t="s">
        <v>1</v>
      </c>
      <c r="G1" s="8" t="s">
        <v>2</v>
      </c>
      <c r="H1" s="8" t="s">
        <v>3</v>
      </c>
      <c r="I1" s="8" t="s">
        <v>7</v>
      </c>
      <c r="J1" s="8" t="s">
        <v>8</v>
      </c>
      <c r="K1" s="8" t="s">
        <v>9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5">
      <c r="A2" s="5">
        <v>1</v>
      </c>
      <c r="B2" s="1">
        <v>33</v>
      </c>
      <c r="C2" s="3">
        <v>30.139399999999998</v>
      </c>
      <c r="D2" s="3">
        <v>16.245249999999999</v>
      </c>
      <c r="E2" s="3">
        <v>25.379100000000001</v>
      </c>
      <c r="F2" s="3">
        <v>543</v>
      </c>
      <c r="G2" s="3">
        <v>547.008547008547</v>
      </c>
      <c r="H2" s="3">
        <v>4.0085470085469996</v>
      </c>
      <c r="I2" s="3">
        <v>99.718242160677505</v>
      </c>
      <c r="J2" s="3">
        <v>63.450827801937898</v>
      </c>
      <c r="K2" s="4">
        <v>1.0083966360101714E-2</v>
      </c>
      <c r="L2" s="1" t="s">
        <v>15</v>
      </c>
      <c r="M2" s="3">
        <v>30.290600000000001</v>
      </c>
      <c r="N2" s="3">
        <v>35.932200000000002</v>
      </c>
      <c r="O2" s="13">
        <v>29.988199999999999</v>
      </c>
    </row>
    <row r="3" spans="1:15">
      <c r="A3" s="5">
        <v>2</v>
      </c>
      <c r="B3" s="1">
        <v>53</v>
      </c>
      <c r="C3" s="3">
        <v>30.1754</v>
      </c>
      <c r="D3" s="3">
        <v>17.0794</v>
      </c>
      <c r="E3" s="3">
        <v>24.873149999999999</v>
      </c>
      <c r="F3" s="3">
        <v>537</v>
      </c>
      <c r="G3" s="3">
        <v>540.90354090354094</v>
      </c>
      <c r="H3" s="3">
        <v>3.9035409035408999</v>
      </c>
      <c r="I3" s="3">
        <v>99.721217669947364</v>
      </c>
      <c r="J3" s="3">
        <v>62.813763637750817</v>
      </c>
      <c r="K3" s="4">
        <v>6.4698235593339077E-3</v>
      </c>
      <c r="L3" s="1" t="s">
        <v>16</v>
      </c>
      <c r="M3" s="3">
        <v>30.078099999999999</v>
      </c>
      <c r="N3" s="3">
        <v>30.2727</v>
      </c>
      <c r="O3" s="13">
        <v>29.5761</v>
      </c>
    </row>
    <row r="4" spans="1:15">
      <c r="A4" s="5">
        <v>3</v>
      </c>
      <c r="B4" s="1">
        <v>42</v>
      </c>
      <c r="C4" s="3">
        <v>30.471250000000001</v>
      </c>
      <c r="D4" s="3">
        <v>16.942050000000002</v>
      </c>
      <c r="E4" s="3">
        <v>25.326049999999999</v>
      </c>
      <c r="F4" s="3">
        <v>541</v>
      </c>
      <c r="G4" s="3">
        <v>545.17704517704522</v>
      </c>
      <c r="H4" s="3">
        <v>4.1770451770452004</v>
      </c>
      <c r="I4" s="3">
        <v>99.721217669947364</v>
      </c>
      <c r="J4" s="3">
        <v>63.44319829098955</v>
      </c>
      <c r="K4" s="4">
        <v>1.6394527437259079E-2</v>
      </c>
      <c r="L4" s="1" t="s">
        <v>16</v>
      </c>
      <c r="M4" s="3">
        <v>30.223500000000001</v>
      </c>
      <c r="N4" s="3">
        <v>30.719000000000001</v>
      </c>
      <c r="O4" s="13">
        <v>35.244399999999999</v>
      </c>
    </row>
    <row r="5" spans="1:15">
      <c r="A5" s="5">
        <v>4</v>
      </c>
      <c r="B5" s="1">
        <v>32</v>
      </c>
      <c r="C5" s="3">
        <v>30.511050000000001</v>
      </c>
      <c r="D5" s="3">
        <v>16.831699999999998</v>
      </c>
      <c r="E5" s="3">
        <v>25.447600000000001</v>
      </c>
      <c r="F5" s="3">
        <v>544</v>
      </c>
      <c r="G5" s="3">
        <v>548.22954822954819</v>
      </c>
      <c r="H5" s="3">
        <v>4.2295482295482003</v>
      </c>
      <c r="I5" s="3">
        <v>99.721217669947364</v>
      </c>
      <c r="J5" s="3">
        <v>63.664454108491647</v>
      </c>
      <c r="K5" s="4">
        <v>2.4644363135182716E-3</v>
      </c>
      <c r="L5" s="1" t="s">
        <v>15</v>
      </c>
      <c r="M5" s="3">
        <v>30.473500000000001</v>
      </c>
      <c r="N5" s="3">
        <v>35.141199999999998</v>
      </c>
      <c r="O5" s="13">
        <v>30.5486</v>
      </c>
    </row>
    <row r="6" spans="1:15">
      <c r="A6" s="5">
        <v>5</v>
      </c>
      <c r="B6" s="1">
        <v>2</v>
      </c>
      <c r="C6" s="3">
        <v>30.624400000000001</v>
      </c>
      <c r="D6" s="3">
        <v>16.974550000000001</v>
      </c>
      <c r="E6" s="3">
        <v>25.488050000000001</v>
      </c>
      <c r="F6" s="3">
        <v>547</v>
      </c>
      <c r="G6" s="3">
        <v>550.67155067155068</v>
      </c>
      <c r="H6" s="3">
        <v>3.6715506715506998</v>
      </c>
      <c r="I6" s="3">
        <v>99.721217669947364</v>
      </c>
      <c r="J6" s="3">
        <v>63.561455710688946</v>
      </c>
      <c r="K6" s="4">
        <v>2.2667529688387599E-2</v>
      </c>
      <c r="L6" s="1" t="s">
        <v>17</v>
      </c>
      <c r="M6" s="3">
        <v>29.428999999999998</v>
      </c>
      <c r="N6" s="3">
        <v>30.281199999999998</v>
      </c>
      <c r="O6" s="13">
        <v>30.967600000000001</v>
      </c>
    </row>
    <row r="7" spans="1:15">
      <c r="A7" s="5">
        <v>6</v>
      </c>
      <c r="B7" s="1">
        <v>52</v>
      </c>
      <c r="C7" s="3">
        <v>30.721649999999997</v>
      </c>
      <c r="D7" s="3">
        <v>17.127299999999998</v>
      </c>
      <c r="E7" s="3">
        <v>25.50395</v>
      </c>
      <c r="F7" s="3">
        <v>538</v>
      </c>
      <c r="G7" s="3">
        <v>542.12454212454213</v>
      </c>
      <c r="H7" s="3">
        <v>4.1245421245421001</v>
      </c>
      <c r="I7" s="3">
        <v>99.721217669947364</v>
      </c>
      <c r="J7" s="3">
        <v>63.054093232623792</v>
      </c>
      <c r="K7" s="4">
        <v>4.871602440695671E-3</v>
      </c>
      <c r="L7" s="1" t="s">
        <v>16</v>
      </c>
      <c r="M7" s="3">
        <v>30.646999999999998</v>
      </c>
      <c r="N7" s="3">
        <v>30.796299999999999</v>
      </c>
      <c r="O7" s="13">
        <v>34.571599999999997</v>
      </c>
    </row>
    <row r="8" spans="1:15">
      <c r="A8" s="5">
        <v>7</v>
      </c>
      <c r="B8" s="1">
        <v>47</v>
      </c>
      <c r="C8" s="3">
        <v>31.418100000000003</v>
      </c>
      <c r="D8" s="3">
        <v>16.62405</v>
      </c>
      <c r="E8" s="3">
        <v>26.658850000000001</v>
      </c>
      <c r="F8" s="3">
        <v>616</v>
      </c>
      <c r="G8" s="3">
        <v>620.26862026862023</v>
      </c>
      <c r="H8" s="3">
        <v>4.2686202686202002</v>
      </c>
      <c r="I8" s="3">
        <v>99.721217669947364</v>
      </c>
      <c r="J8" s="3">
        <v>73.971923399710079</v>
      </c>
      <c r="K8" s="4">
        <v>4.087187265540497E-2</v>
      </c>
      <c r="L8" s="1" t="s">
        <v>16</v>
      </c>
      <c r="M8" s="3">
        <v>32.0473</v>
      </c>
      <c r="N8" s="3">
        <v>30.788900000000002</v>
      </c>
      <c r="O8" s="13">
        <v>33.658200000000001</v>
      </c>
    </row>
    <row r="9" spans="1:15">
      <c r="A9" s="5">
        <v>8</v>
      </c>
      <c r="B9" s="1">
        <v>4</v>
      </c>
      <c r="C9" s="3">
        <v>31.8338</v>
      </c>
      <c r="D9" s="3">
        <v>17.00705</v>
      </c>
      <c r="E9" s="3">
        <v>26.908049999999999</v>
      </c>
      <c r="F9" s="3">
        <v>620</v>
      </c>
      <c r="G9" s="3">
        <v>623.9316239316239</v>
      </c>
      <c r="H9" s="3">
        <v>3.9316239316238999</v>
      </c>
      <c r="I9" s="3">
        <v>99.721217669947364</v>
      </c>
      <c r="J9" s="3">
        <v>73.651483939879455</v>
      </c>
      <c r="K9" s="4">
        <v>8.9549695663560525E-3</v>
      </c>
      <c r="L9" s="1" t="s">
        <v>15</v>
      </c>
      <c r="M9" s="3">
        <v>31.6919</v>
      </c>
      <c r="N9" s="3">
        <v>31.353100000000001</v>
      </c>
      <c r="O9" s="13">
        <v>31.9757</v>
      </c>
    </row>
    <row r="10" spans="1:15">
      <c r="A10" s="5">
        <v>9</v>
      </c>
      <c r="B10" s="1">
        <v>57</v>
      </c>
      <c r="C10" s="3">
        <v>31.869499999999999</v>
      </c>
      <c r="D10" s="3">
        <v>16.330750000000002</v>
      </c>
      <c r="E10" s="3">
        <v>27.3673</v>
      </c>
      <c r="F10" s="3">
        <v>643</v>
      </c>
      <c r="G10" s="3">
        <v>647.74114774114776</v>
      </c>
      <c r="H10" s="3">
        <v>4.7411477411477998</v>
      </c>
      <c r="I10" s="3">
        <v>99.721217669947364</v>
      </c>
      <c r="J10" s="3">
        <v>77.977416647592889</v>
      </c>
      <c r="K10" s="4">
        <v>3.753560223578973E-3</v>
      </c>
      <c r="L10" s="1" t="s">
        <v>17</v>
      </c>
      <c r="M10" s="3">
        <v>31.409500000000001</v>
      </c>
      <c r="N10" s="3">
        <v>31.809799999999999</v>
      </c>
      <c r="O10" s="13">
        <v>31.929200000000002</v>
      </c>
    </row>
    <row r="11" spans="1:15">
      <c r="A11" s="5">
        <v>10</v>
      </c>
      <c r="B11" s="1">
        <v>50</v>
      </c>
      <c r="C11" s="3">
        <v>32.116950000000003</v>
      </c>
      <c r="D11" s="3">
        <v>15.11675</v>
      </c>
      <c r="E11" s="3">
        <v>28.33475</v>
      </c>
      <c r="F11" s="3">
        <v>608</v>
      </c>
      <c r="G11" s="3">
        <v>611.72161172161168</v>
      </c>
      <c r="H11" s="3">
        <v>3.7216117216117</v>
      </c>
      <c r="I11" s="3">
        <v>99.721217669947364</v>
      </c>
      <c r="J11" s="3">
        <v>72.735942626077673</v>
      </c>
      <c r="K11" s="4">
        <v>1.3147502757998284E-2</v>
      </c>
      <c r="L11" s="1" t="s">
        <v>16</v>
      </c>
      <c r="M11" s="3">
        <v>31.9072</v>
      </c>
      <c r="N11" s="3">
        <v>32.326700000000002</v>
      </c>
      <c r="O11" s="13">
        <v>36.256300000000003</v>
      </c>
    </row>
    <row r="12" spans="1:15">
      <c r="A12" s="5">
        <v>11</v>
      </c>
      <c r="B12" s="1">
        <v>34</v>
      </c>
      <c r="C12" s="3">
        <v>32.122699999999995</v>
      </c>
      <c r="D12" s="3">
        <v>17.439900000000002</v>
      </c>
      <c r="E12" s="3">
        <v>26.9756</v>
      </c>
      <c r="F12" s="3">
        <v>625</v>
      </c>
      <c r="G12" s="3">
        <v>629.42612942612948</v>
      </c>
      <c r="H12" s="3">
        <v>4.4261294261295001</v>
      </c>
      <c r="I12" s="3">
        <v>99.721217669947364</v>
      </c>
      <c r="J12" s="3">
        <v>74.84931715877012</v>
      </c>
      <c r="K12" s="4">
        <v>6.0411671285764078E-4</v>
      </c>
      <c r="L12" s="1" t="s">
        <v>17</v>
      </c>
      <c r="M12" s="3">
        <v>32.536200000000001</v>
      </c>
      <c r="N12" s="3">
        <v>32.132399999999997</v>
      </c>
      <c r="O12" s="13">
        <v>32.113</v>
      </c>
    </row>
    <row r="13" spans="1:15">
      <c r="A13" s="5">
        <v>12</v>
      </c>
      <c r="B13" s="1">
        <v>39</v>
      </c>
      <c r="C13" s="3">
        <v>32.391400000000004</v>
      </c>
      <c r="D13" s="3">
        <v>16.006700000000002</v>
      </c>
      <c r="E13" s="3">
        <v>28.15765</v>
      </c>
      <c r="F13" s="3">
        <v>646</v>
      </c>
      <c r="G13" s="3">
        <v>650.79365079365084</v>
      </c>
      <c r="H13" s="3">
        <v>4.7936507936507997</v>
      </c>
      <c r="I13" s="3">
        <v>99.721217669947364</v>
      </c>
      <c r="J13" s="3">
        <v>78.149080643930731</v>
      </c>
      <c r="K13" s="4">
        <v>1.174450272185526E-2</v>
      </c>
      <c r="L13" s="1" t="s">
        <v>16</v>
      </c>
      <c r="M13" s="3">
        <v>32.202300000000001</v>
      </c>
      <c r="N13" s="3">
        <v>32.580500000000001</v>
      </c>
      <c r="O13" s="13">
        <v>33.202800000000003</v>
      </c>
    </row>
    <row r="14" spans="1:15">
      <c r="A14" s="5">
        <v>13</v>
      </c>
      <c r="B14" s="1">
        <v>38</v>
      </c>
      <c r="C14" s="3">
        <v>32.3917</v>
      </c>
      <c r="D14" s="3">
        <v>16.663049999999998</v>
      </c>
      <c r="E14" s="3">
        <v>27.775749999999999</v>
      </c>
      <c r="F14" s="3">
        <v>635</v>
      </c>
      <c r="G14" s="3">
        <v>639.80463980463981</v>
      </c>
      <c r="H14" s="3">
        <v>4.8046398046398</v>
      </c>
      <c r="I14" s="3">
        <v>99.718242160677505</v>
      </c>
      <c r="J14" s="3">
        <v>76.569771877622642</v>
      </c>
      <c r="K14" s="4">
        <v>5.6203022610909004E-4</v>
      </c>
      <c r="L14" s="1" t="s">
        <v>16</v>
      </c>
      <c r="M14" s="3">
        <v>32.382599999999996</v>
      </c>
      <c r="N14" s="3">
        <v>32.400799999999997</v>
      </c>
      <c r="O14" s="13">
        <v>36.982199999999999</v>
      </c>
    </row>
    <row r="15" spans="1:15">
      <c r="A15" s="5">
        <v>14</v>
      </c>
      <c r="B15" s="1">
        <v>19</v>
      </c>
      <c r="C15" s="3">
        <v>32.448099999999997</v>
      </c>
      <c r="D15" s="3">
        <v>16.209350000000001</v>
      </c>
      <c r="E15" s="3">
        <v>28.108550000000001</v>
      </c>
      <c r="F15" s="3">
        <v>651</v>
      </c>
      <c r="G15" s="3">
        <v>655.67765567765571</v>
      </c>
      <c r="H15" s="3">
        <v>4.6776556776557001</v>
      </c>
      <c r="I15" s="3">
        <v>99.721217669947364</v>
      </c>
      <c r="J15" s="3">
        <v>78.572518501564048</v>
      </c>
      <c r="K15" s="4">
        <v>2.134912922085E-3</v>
      </c>
      <c r="L15" s="1" t="s">
        <v>16</v>
      </c>
      <c r="M15" s="3">
        <v>32.482700000000001</v>
      </c>
      <c r="N15" s="3">
        <v>32.413499999999999</v>
      </c>
      <c r="O15" s="13">
        <v>32.686</v>
      </c>
    </row>
    <row r="16" spans="1:15">
      <c r="A16" s="5">
        <v>15</v>
      </c>
      <c r="B16" s="1">
        <v>10</v>
      </c>
      <c r="C16" s="3">
        <v>32.570050000000002</v>
      </c>
      <c r="D16" s="3">
        <v>16.625399999999999</v>
      </c>
      <c r="E16" s="3">
        <v>28.006900000000002</v>
      </c>
      <c r="F16" s="3">
        <v>640</v>
      </c>
      <c r="G16" s="3">
        <v>644.68864468864467</v>
      </c>
      <c r="H16" s="3">
        <v>4.6886446886447004</v>
      </c>
      <c r="I16" s="3">
        <v>99.721217669947364</v>
      </c>
      <c r="J16" s="3">
        <v>76.760509651331347</v>
      </c>
      <c r="K16" s="4">
        <v>6.1440762789379969E-3</v>
      </c>
      <c r="L16" s="1" t="s">
        <v>17</v>
      </c>
      <c r="M16" s="3">
        <v>32.108699999999999</v>
      </c>
      <c r="N16" s="3">
        <v>32.470300000000002</v>
      </c>
      <c r="O16" s="13">
        <v>32.669800000000002</v>
      </c>
    </row>
    <row r="17" spans="1:15">
      <c r="A17" s="5">
        <v>16</v>
      </c>
      <c r="B17" s="1">
        <v>18</v>
      </c>
      <c r="C17" s="3">
        <v>32.669350000000001</v>
      </c>
      <c r="D17" s="3">
        <v>17.715600000000002</v>
      </c>
      <c r="E17" s="3">
        <v>27.448599999999999</v>
      </c>
      <c r="F17" s="3">
        <v>630</v>
      </c>
      <c r="G17" s="3">
        <v>634.31013431013434</v>
      </c>
      <c r="H17" s="3">
        <v>4.3101343101343002</v>
      </c>
      <c r="I17" s="3">
        <v>99.718242160677505</v>
      </c>
      <c r="J17" s="3">
        <v>75.589379720759894</v>
      </c>
      <c r="K17" s="4">
        <v>1.209815740468608E-3</v>
      </c>
      <c r="L17" s="1" t="s">
        <v>16</v>
      </c>
      <c r="M17" s="3">
        <v>32.6496</v>
      </c>
      <c r="N17" s="3">
        <v>32.689100000000003</v>
      </c>
      <c r="O17" s="13">
        <v>31.996099999999998</v>
      </c>
    </row>
    <row r="18" spans="1:15">
      <c r="A18" s="5">
        <v>17</v>
      </c>
      <c r="B18" s="1">
        <v>48</v>
      </c>
      <c r="C18" s="3">
        <v>33.055</v>
      </c>
      <c r="D18" s="3">
        <v>16.222250000000003</v>
      </c>
      <c r="E18" s="3">
        <v>28.8</v>
      </c>
      <c r="F18" s="3">
        <v>655</v>
      </c>
      <c r="G18" s="3">
        <v>659.34065934065939</v>
      </c>
      <c r="H18" s="3">
        <v>4.3406593406593998</v>
      </c>
      <c r="I18" s="3">
        <v>99.721217669947364</v>
      </c>
      <c r="J18" s="3">
        <v>79.427023727779044</v>
      </c>
      <c r="K18" s="4">
        <v>7.4821297347850459E-3</v>
      </c>
      <c r="L18" s="1" t="s">
        <v>17</v>
      </c>
      <c r="M18" s="3">
        <v>33.475999999999999</v>
      </c>
      <c r="N18" s="3">
        <v>33.178199999999997</v>
      </c>
      <c r="O18" s="13">
        <v>32.931800000000003</v>
      </c>
    </row>
    <row r="19" spans="1:15">
      <c r="A19" s="5">
        <v>18</v>
      </c>
      <c r="B19" s="1">
        <v>12</v>
      </c>
      <c r="C19" s="3">
        <v>33.328450000000004</v>
      </c>
      <c r="D19" s="3">
        <v>16.926449999999999</v>
      </c>
      <c r="E19" s="3">
        <v>28.70815</v>
      </c>
      <c r="F19" s="3">
        <v>660</v>
      </c>
      <c r="G19" s="3">
        <v>664.83516483516485</v>
      </c>
      <c r="H19" s="3">
        <v>4.8351648351648002</v>
      </c>
      <c r="I19" s="3">
        <v>99.721217669947364</v>
      </c>
      <c r="J19" s="3">
        <v>79.774166475928894</v>
      </c>
      <c r="K19" s="4">
        <v>9.5174642605198485E-3</v>
      </c>
      <c r="L19" s="1" t="s">
        <v>17</v>
      </c>
      <c r="M19" s="3">
        <v>34.399799999999999</v>
      </c>
      <c r="N19" s="3">
        <v>33.1706</v>
      </c>
      <c r="O19" s="13">
        <v>33.4863</v>
      </c>
    </row>
    <row r="20" spans="1:15">
      <c r="A20" s="5">
        <v>19</v>
      </c>
      <c r="B20" s="1">
        <v>58</v>
      </c>
      <c r="C20" s="3">
        <v>33.377750000000006</v>
      </c>
      <c r="D20" s="3">
        <v>16.3507</v>
      </c>
      <c r="E20" s="3">
        <v>29.098649999999999</v>
      </c>
      <c r="F20" s="3">
        <v>663</v>
      </c>
      <c r="G20" s="3">
        <v>667.27716727716722</v>
      </c>
      <c r="H20" s="3">
        <v>4.2771672771671998</v>
      </c>
      <c r="I20" s="3">
        <v>99.718242160677505</v>
      </c>
      <c r="J20" s="3">
        <v>80.773632410162506</v>
      </c>
      <c r="K20" s="4">
        <v>7.756670917446625E-3</v>
      </c>
      <c r="L20" s="1" t="s">
        <v>16</v>
      </c>
      <c r="M20" s="3">
        <v>33.248800000000003</v>
      </c>
      <c r="N20" s="3">
        <v>33.506700000000002</v>
      </c>
      <c r="O20" s="13">
        <v>32.907499999999999</v>
      </c>
    </row>
    <row r="21" spans="1:15">
      <c r="A21" s="5">
        <v>20</v>
      </c>
      <c r="B21" s="1">
        <v>8</v>
      </c>
      <c r="C21" s="3">
        <v>33.606700000000004</v>
      </c>
      <c r="D21" s="3">
        <v>16.173500000000001</v>
      </c>
      <c r="E21" s="3">
        <v>29.458600000000001</v>
      </c>
      <c r="F21" s="3">
        <v>674</v>
      </c>
      <c r="G21" s="3">
        <v>678.87667887667885</v>
      </c>
      <c r="H21" s="3">
        <v>4.8766788766789002</v>
      </c>
      <c r="I21" s="3">
        <v>99.721217669947364</v>
      </c>
      <c r="J21" s="3">
        <v>81.498435950255583</v>
      </c>
      <c r="K21" s="4">
        <v>8.0785145571606355E-3</v>
      </c>
      <c r="L21" s="1" t="s">
        <v>17</v>
      </c>
      <c r="M21" s="3">
        <v>34.526200000000003</v>
      </c>
      <c r="N21" s="3">
        <v>33.471499999999999</v>
      </c>
      <c r="O21" s="13">
        <v>33.741900000000001</v>
      </c>
    </row>
    <row r="22" spans="1:15">
      <c r="A22" s="5">
        <v>21</v>
      </c>
      <c r="B22" s="1">
        <v>56</v>
      </c>
      <c r="C22" s="3">
        <v>33.638300000000001</v>
      </c>
      <c r="D22" s="3">
        <v>15.9032</v>
      </c>
      <c r="E22" s="3">
        <v>29.6404</v>
      </c>
      <c r="F22" s="3">
        <v>677</v>
      </c>
      <c r="G22" s="3">
        <v>681.31868131868134</v>
      </c>
      <c r="H22" s="3">
        <v>4.3186813186812998</v>
      </c>
      <c r="I22" s="3">
        <v>99.721217669947364</v>
      </c>
      <c r="J22" s="3">
        <v>82.642862592507825</v>
      </c>
      <c r="K22" s="4">
        <v>4.281751117267904E-4</v>
      </c>
      <c r="L22" s="1" t="s">
        <v>17</v>
      </c>
      <c r="M22" s="3">
        <v>34.001100000000001</v>
      </c>
      <c r="N22" s="3">
        <v>33.645499999999998</v>
      </c>
      <c r="O22" s="13">
        <v>33.631100000000004</v>
      </c>
    </row>
    <row r="23" spans="1:15">
      <c r="A23" s="5">
        <v>22</v>
      </c>
      <c r="B23" s="1">
        <v>17</v>
      </c>
      <c r="C23" s="3">
        <v>33.67445</v>
      </c>
      <c r="D23" s="3">
        <v>16.849</v>
      </c>
      <c r="E23" s="3">
        <v>29.155899999999999</v>
      </c>
      <c r="F23" s="3">
        <v>535</v>
      </c>
      <c r="G23" s="3">
        <v>539.07203907203905</v>
      </c>
      <c r="H23" s="3">
        <v>4.0720390720389998</v>
      </c>
      <c r="I23" s="3">
        <v>99.718242160677505</v>
      </c>
      <c r="J23" s="3">
        <v>62.458991378652627</v>
      </c>
      <c r="K23" s="4">
        <v>1.5896961588079673E-2</v>
      </c>
      <c r="L23" s="1" t="s">
        <v>16</v>
      </c>
      <c r="M23" s="3">
        <v>33.408900000000003</v>
      </c>
      <c r="N23" s="3">
        <v>33.94</v>
      </c>
      <c r="O23" s="13">
        <v>29.2957</v>
      </c>
    </row>
    <row r="24" spans="1:15">
      <c r="A24" s="5">
        <v>23</v>
      </c>
      <c r="B24" s="1">
        <v>1</v>
      </c>
      <c r="C24" s="3">
        <v>34.09225</v>
      </c>
      <c r="D24" s="3">
        <v>23.026200000000003</v>
      </c>
      <c r="E24" s="3">
        <v>25.13175</v>
      </c>
      <c r="F24" s="3">
        <v>505</v>
      </c>
      <c r="G24" s="3">
        <v>509.15750915750914</v>
      </c>
      <c r="H24" s="3">
        <v>4.1575091575091401</v>
      </c>
      <c r="I24" s="3">
        <v>99.721217669947364</v>
      </c>
      <c r="J24" s="3">
        <v>57.862211032272832</v>
      </c>
      <c r="K24" s="4">
        <v>1.1005620203382192E-3</v>
      </c>
      <c r="L24" s="1" t="s">
        <v>16</v>
      </c>
      <c r="M24" s="3">
        <v>34.073500000000003</v>
      </c>
      <c r="N24" s="3">
        <v>34.110999999999997</v>
      </c>
      <c r="O24" s="13">
        <v>34.8553</v>
      </c>
    </row>
    <row r="25" spans="1:15">
      <c r="A25" s="5">
        <v>24</v>
      </c>
      <c r="B25" s="1">
        <v>26</v>
      </c>
      <c r="C25" s="3">
        <v>34.139600000000002</v>
      </c>
      <c r="D25" s="3">
        <v>16.757649999999998</v>
      </c>
      <c r="E25" s="3">
        <v>29.74325</v>
      </c>
      <c r="F25" s="3">
        <v>667</v>
      </c>
      <c r="G25" s="3">
        <v>671.5506715506715</v>
      </c>
      <c r="H25" s="3">
        <v>4.5506715506714999</v>
      </c>
      <c r="I25" s="3">
        <v>99.718242160677505</v>
      </c>
      <c r="J25" s="3">
        <v>80.750743877317461</v>
      </c>
      <c r="K25" s="4">
        <v>6.8187963648761243E-3</v>
      </c>
      <c r="L25" s="1" t="s">
        <v>15</v>
      </c>
      <c r="M25" s="3">
        <v>34.023600000000002</v>
      </c>
      <c r="N25" s="3">
        <v>33.502899999999997</v>
      </c>
      <c r="O25" s="13">
        <v>34.255600000000001</v>
      </c>
    </row>
    <row r="26" spans="1:15">
      <c r="A26" s="5">
        <v>25</v>
      </c>
      <c r="B26" s="1">
        <v>22</v>
      </c>
      <c r="C26" s="3">
        <v>34.223200000000006</v>
      </c>
      <c r="D26" s="3">
        <v>15.92315</v>
      </c>
      <c r="E26" s="3">
        <v>30.291250000000002</v>
      </c>
      <c r="F26" s="3">
        <v>548</v>
      </c>
      <c r="G26" s="3">
        <v>551.89255189255186</v>
      </c>
      <c r="H26" s="3">
        <v>3.8925518925519</v>
      </c>
      <c r="I26" s="3">
        <v>99.721217669947364</v>
      </c>
      <c r="J26" s="3">
        <v>64.034485389486534</v>
      </c>
      <c r="K26" s="4">
        <v>3.3234513037743815E-2</v>
      </c>
      <c r="L26" s="1" t="s">
        <v>15</v>
      </c>
      <c r="M26" s="3">
        <v>33.663800000000002</v>
      </c>
      <c r="N26" s="3">
        <v>30.4803</v>
      </c>
      <c r="O26" s="13">
        <v>34.782600000000002</v>
      </c>
    </row>
    <row r="27" spans="1:15">
      <c r="A27" s="5">
        <v>26</v>
      </c>
      <c r="B27" s="1">
        <v>28</v>
      </c>
      <c r="C27" s="3">
        <v>34.306550000000001</v>
      </c>
      <c r="D27" s="3">
        <v>15.99615</v>
      </c>
      <c r="E27" s="3">
        <v>30.345199999999998</v>
      </c>
      <c r="F27" s="3">
        <v>681</v>
      </c>
      <c r="G27" s="3">
        <v>685.59218559218561</v>
      </c>
      <c r="H27" s="3">
        <v>4.5921855921855999</v>
      </c>
      <c r="I27" s="3">
        <v>99.721217669947364</v>
      </c>
      <c r="J27" s="3">
        <v>82.799267566948956</v>
      </c>
      <c r="K27" s="4">
        <v>1.0411593323747623E-3</v>
      </c>
      <c r="L27" s="1" t="s">
        <v>15</v>
      </c>
      <c r="M27" s="3">
        <v>34.288699999999999</v>
      </c>
      <c r="N27" s="3">
        <v>33.482700000000001</v>
      </c>
      <c r="O27" s="13">
        <v>34.324399999999997</v>
      </c>
    </row>
    <row r="28" spans="1:15">
      <c r="A28" s="5">
        <v>27</v>
      </c>
      <c r="B28" s="1">
        <v>45</v>
      </c>
      <c r="C28" s="3">
        <v>34.501549999999995</v>
      </c>
      <c r="D28" s="3">
        <v>16.0596</v>
      </c>
      <c r="E28" s="3">
        <v>30.53415</v>
      </c>
      <c r="F28" s="3">
        <v>685</v>
      </c>
      <c r="G28" s="3">
        <v>689.86568986568989</v>
      </c>
      <c r="H28" s="3">
        <v>4.8656898656898999</v>
      </c>
      <c r="I28" s="3">
        <v>99.721217669947364</v>
      </c>
      <c r="J28" s="3">
        <v>83.615625238422211</v>
      </c>
      <c r="K28" s="4">
        <v>3.7488747568023089E-3</v>
      </c>
      <c r="L28" s="1" t="s">
        <v>16</v>
      </c>
      <c r="M28" s="3">
        <v>34.566099999999999</v>
      </c>
      <c r="N28" s="3">
        <v>34.436999999999998</v>
      </c>
      <c r="O28" s="13">
        <v>34.747500000000002</v>
      </c>
    </row>
    <row r="29" spans="1:15">
      <c r="A29" s="5">
        <v>28</v>
      </c>
      <c r="B29" s="1">
        <v>3</v>
      </c>
      <c r="C29" s="3">
        <v>34.555349999999997</v>
      </c>
      <c r="D29" s="3">
        <v>21.035350000000001</v>
      </c>
      <c r="E29" s="3">
        <v>27.414850000000001</v>
      </c>
      <c r="F29" s="3">
        <v>522</v>
      </c>
      <c r="G29" s="3">
        <v>526.25152625152623</v>
      </c>
      <c r="H29" s="3">
        <v>4.2515262515262</v>
      </c>
      <c r="I29" s="3">
        <v>99.721217669947364</v>
      </c>
      <c r="J29" s="3">
        <v>60.131990539406424</v>
      </c>
      <c r="K29" s="4">
        <v>3.1274093225202681E-3</v>
      </c>
      <c r="L29" s="1" t="s">
        <v>16</v>
      </c>
      <c r="M29" s="3">
        <v>34.501399999999997</v>
      </c>
      <c r="N29" s="3">
        <v>34.609299999999998</v>
      </c>
      <c r="O29" s="13">
        <v>30.952500000000001</v>
      </c>
    </row>
    <row r="30" spans="1:15">
      <c r="A30" s="5">
        <v>29</v>
      </c>
      <c r="B30" s="1">
        <v>21</v>
      </c>
      <c r="C30" s="3">
        <v>34.574399999999997</v>
      </c>
      <c r="D30" s="3">
        <v>16.7178</v>
      </c>
      <c r="E30" s="3">
        <v>30.248650000000001</v>
      </c>
      <c r="F30" s="3">
        <v>546</v>
      </c>
      <c r="G30" s="3">
        <v>550.06105006105008</v>
      </c>
      <c r="H30" s="3">
        <v>4.0610500610500999</v>
      </c>
      <c r="I30" s="3">
        <v>99.721217669947364</v>
      </c>
      <c r="J30" s="3">
        <v>63.855191882200351</v>
      </c>
      <c r="K30" s="4">
        <v>1.1112654535352963E-3</v>
      </c>
      <c r="L30" s="1" t="s">
        <v>17</v>
      </c>
      <c r="M30" s="3">
        <v>30.7866</v>
      </c>
      <c r="N30" s="3">
        <v>34.555199999999999</v>
      </c>
      <c r="O30" s="13">
        <v>34.593600000000002</v>
      </c>
    </row>
    <row r="31" spans="1:15">
      <c r="A31" s="5">
        <v>30</v>
      </c>
      <c r="B31" s="1">
        <v>23</v>
      </c>
      <c r="C31" s="3">
        <v>34.647400000000005</v>
      </c>
      <c r="D31" s="3">
        <v>17.607749999999999</v>
      </c>
      <c r="E31" s="3">
        <v>29.83625</v>
      </c>
      <c r="F31" s="3">
        <v>545</v>
      </c>
      <c r="G31" s="3">
        <v>548.84004884004889</v>
      </c>
      <c r="H31" s="3">
        <v>3.8400488400489001</v>
      </c>
      <c r="I31" s="3">
        <v>99.721217669947364</v>
      </c>
      <c r="J31" s="3">
        <v>63.588158999008165</v>
      </c>
      <c r="K31" s="4">
        <v>5.8704336247323401E-3</v>
      </c>
      <c r="L31" s="1" t="s">
        <v>17</v>
      </c>
      <c r="M31" s="3">
        <v>29.489899999999999</v>
      </c>
      <c r="N31" s="3">
        <v>34.545999999999999</v>
      </c>
      <c r="O31" s="13">
        <v>34.748800000000003</v>
      </c>
    </row>
    <row r="32" spans="1:15">
      <c r="A32" s="5">
        <v>31</v>
      </c>
      <c r="B32" s="1">
        <v>15</v>
      </c>
      <c r="C32" s="3">
        <v>34.650400000000005</v>
      </c>
      <c r="D32" s="3">
        <v>15.616</v>
      </c>
      <c r="E32" s="3">
        <v>30.9313</v>
      </c>
      <c r="F32" s="3">
        <v>701</v>
      </c>
      <c r="G32" s="3">
        <v>705.73870573870579</v>
      </c>
      <c r="H32" s="3">
        <v>4.7387057387058</v>
      </c>
      <c r="I32" s="3">
        <v>99.721217669947364</v>
      </c>
      <c r="J32" s="3">
        <v>85.633630884260313</v>
      </c>
      <c r="K32" s="4">
        <v>5.3069125864109151E-3</v>
      </c>
      <c r="L32" s="1" t="s">
        <v>17</v>
      </c>
      <c r="M32" s="3">
        <v>35.0137</v>
      </c>
      <c r="N32" s="3">
        <v>34.742100000000001</v>
      </c>
      <c r="O32" s="13">
        <v>34.558700000000002</v>
      </c>
    </row>
    <row r="33" spans="1:15">
      <c r="A33" s="5">
        <v>32</v>
      </c>
      <c r="B33" s="1">
        <v>5</v>
      </c>
      <c r="C33" s="3">
        <v>34.701650000000001</v>
      </c>
      <c r="D33" s="3">
        <v>15.287649999999999</v>
      </c>
      <c r="E33" s="3">
        <v>31.1525</v>
      </c>
      <c r="F33" s="3">
        <v>561</v>
      </c>
      <c r="G33" s="3">
        <v>564.71306471306468</v>
      </c>
      <c r="H33" s="3">
        <v>3.7130647130646999</v>
      </c>
      <c r="I33" s="3">
        <v>99.721217669947364</v>
      </c>
      <c r="J33" s="3">
        <v>65.476462958724341</v>
      </c>
      <c r="K33" s="4">
        <v>6.8896531247020264E-4</v>
      </c>
      <c r="L33" s="1" t="s">
        <v>15</v>
      </c>
      <c r="M33" s="3">
        <v>34.7136</v>
      </c>
      <c r="N33" s="3">
        <v>34.509599999999999</v>
      </c>
      <c r="O33" s="13">
        <v>34.689700000000002</v>
      </c>
    </row>
    <row r="34" spans="1:15">
      <c r="A34" s="5">
        <v>33</v>
      </c>
      <c r="B34" s="1">
        <v>51</v>
      </c>
      <c r="C34" s="3">
        <v>34.716250000000002</v>
      </c>
      <c r="D34" s="3">
        <v>16.220600000000001</v>
      </c>
      <c r="E34" s="3">
        <v>30.6937</v>
      </c>
      <c r="F34" s="3">
        <v>539</v>
      </c>
      <c r="G34" s="3">
        <v>542.73504273504273</v>
      </c>
      <c r="H34" s="3">
        <v>3.7350427350427</v>
      </c>
      <c r="I34" s="3">
        <v>99.721217669947364</v>
      </c>
      <c r="J34" s="3">
        <v>63.14564736400397</v>
      </c>
      <c r="K34" s="4">
        <v>2.3498314054981925E-2</v>
      </c>
      <c r="L34" s="1" t="s">
        <v>17</v>
      </c>
      <c r="M34" s="3">
        <v>30.582699999999999</v>
      </c>
      <c r="N34" s="3">
        <v>34.313099999999999</v>
      </c>
      <c r="O34" s="13">
        <v>35.119399999999999</v>
      </c>
    </row>
    <row r="35" spans="1:15">
      <c r="A35" s="5">
        <v>34</v>
      </c>
      <c r="B35" s="1">
        <v>7</v>
      </c>
      <c r="C35" s="3">
        <v>34.741299999999995</v>
      </c>
      <c r="D35" s="3">
        <v>16.129049999999999</v>
      </c>
      <c r="E35" s="3">
        <v>30.770199999999999</v>
      </c>
      <c r="F35" s="3">
        <v>689</v>
      </c>
      <c r="G35" s="3">
        <v>693.52869352869357</v>
      </c>
      <c r="H35" s="3">
        <v>4.5286935286935996</v>
      </c>
      <c r="I35" s="3">
        <v>99.721217669947364</v>
      </c>
      <c r="J35" s="3">
        <v>83.485923552300292</v>
      </c>
      <c r="K35" s="4">
        <v>2.8788328060265516E-4</v>
      </c>
      <c r="L35" s="1" t="s">
        <v>17</v>
      </c>
      <c r="M35" s="3">
        <v>34.7119</v>
      </c>
      <c r="N35" s="3">
        <v>34.7363</v>
      </c>
      <c r="O35" s="13">
        <v>34.746299999999998</v>
      </c>
    </row>
    <row r="36" spans="1:15">
      <c r="A36" s="5">
        <v>35</v>
      </c>
      <c r="B36" s="1">
        <v>35</v>
      </c>
      <c r="C36" s="3">
        <v>34.748449999999998</v>
      </c>
      <c r="D36" s="3">
        <v>16.2559</v>
      </c>
      <c r="E36" s="3">
        <v>30.709800000000001</v>
      </c>
      <c r="F36" s="3">
        <v>695</v>
      </c>
      <c r="G36" s="3">
        <v>699.63369963369962</v>
      </c>
      <c r="H36" s="3">
        <v>4.6336996336996004</v>
      </c>
      <c r="I36" s="3">
        <v>99.721217669947364</v>
      </c>
      <c r="J36" s="3">
        <v>84.863050278477147</v>
      </c>
      <c r="K36" s="4">
        <v>3.7412440499845259E-5</v>
      </c>
      <c r="L36" s="1" t="s">
        <v>16</v>
      </c>
      <c r="M36" s="3">
        <v>34.749099999999999</v>
      </c>
      <c r="N36" s="3">
        <v>34.747799999999998</v>
      </c>
      <c r="O36" s="13">
        <v>34.472999999999999</v>
      </c>
    </row>
    <row r="37" spans="1:15">
      <c r="A37" s="5">
        <v>36</v>
      </c>
      <c r="B37" s="1">
        <v>44</v>
      </c>
      <c r="C37" s="3">
        <v>34.902649999999994</v>
      </c>
      <c r="D37" s="3">
        <v>14.15765</v>
      </c>
      <c r="E37" s="3">
        <v>31.902249999999999</v>
      </c>
      <c r="F37" s="3">
        <v>567</v>
      </c>
      <c r="G37" s="3">
        <v>570.81807081807085</v>
      </c>
      <c r="H37" s="3">
        <v>3.8180708180709</v>
      </c>
      <c r="I37" s="3">
        <v>99.721217669947364</v>
      </c>
      <c r="J37" s="3">
        <v>66.899366750591284</v>
      </c>
      <c r="K37" s="4">
        <v>4.9578724135951053E-4</v>
      </c>
      <c r="L37" s="1" t="s">
        <v>16</v>
      </c>
      <c r="M37" s="3">
        <v>34.911299999999997</v>
      </c>
      <c r="N37" s="3">
        <v>34.893999999999998</v>
      </c>
      <c r="O37" s="13">
        <v>95.546599999999998</v>
      </c>
    </row>
    <row r="38" spans="1:15">
      <c r="A38" s="5">
        <v>37</v>
      </c>
      <c r="B38" s="1">
        <v>31</v>
      </c>
      <c r="C38" s="3">
        <v>34.9345</v>
      </c>
      <c r="D38" s="3">
        <v>15.19495</v>
      </c>
      <c r="E38" s="3">
        <v>31.455100000000002</v>
      </c>
      <c r="F38" s="3">
        <v>549</v>
      </c>
      <c r="G38" s="3">
        <v>553.11355311355317</v>
      </c>
      <c r="H38" s="3">
        <v>4.1135531135532002</v>
      </c>
      <c r="I38" s="3">
        <v>99.721217669947364</v>
      </c>
      <c r="J38" s="3">
        <v>64.39688715953308</v>
      </c>
      <c r="K38" s="4">
        <v>1.965604781634591E-3</v>
      </c>
      <c r="L38" s="1" t="s">
        <v>15</v>
      </c>
      <c r="M38" s="3">
        <v>34.900199999999998</v>
      </c>
      <c r="N38" s="3">
        <v>29.680099999999999</v>
      </c>
      <c r="O38" s="13">
        <v>34.968800000000002</v>
      </c>
    </row>
    <row r="39" spans="1:15">
      <c r="A39" s="5">
        <v>38</v>
      </c>
      <c r="B39" s="1">
        <v>41</v>
      </c>
      <c r="C39" s="3">
        <v>34.959999999999994</v>
      </c>
      <c r="D39" s="3">
        <v>17.516550000000002</v>
      </c>
      <c r="E39" s="3">
        <v>30.252300000000002</v>
      </c>
      <c r="F39" s="3">
        <v>542</v>
      </c>
      <c r="G39" s="3">
        <v>545.78754578754581</v>
      </c>
      <c r="H39" s="3">
        <v>3.7875457875457998</v>
      </c>
      <c r="I39" s="3">
        <v>99.721217669947364</v>
      </c>
      <c r="J39" s="3">
        <v>63.569085221637295</v>
      </c>
      <c r="K39" s="4">
        <v>7.2458359409539449E-3</v>
      </c>
      <c r="L39" s="1" t="s">
        <v>17</v>
      </c>
      <c r="M39" s="3">
        <v>31.0471</v>
      </c>
      <c r="N39" s="3">
        <v>35.086199999999998</v>
      </c>
      <c r="O39" s="13">
        <v>34.833799999999997</v>
      </c>
    </row>
    <row r="40" spans="1:15">
      <c r="A40" s="5">
        <v>39</v>
      </c>
      <c r="B40" s="1">
        <v>43</v>
      </c>
      <c r="C40" s="3">
        <v>35.004599999999996</v>
      </c>
      <c r="D40" s="3">
        <v>16.975850000000001</v>
      </c>
      <c r="E40" s="3">
        <v>30.612649999999999</v>
      </c>
      <c r="F40" s="3">
        <v>540</v>
      </c>
      <c r="G40" s="3">
        <v>543.95604395604391</v>
      </c>
      <c r="H40" s="3">
        <v>3.9560439560438998</v>
      </c>
      <c r="I40" s="3">
        <v>99.721217669947364</v>
      </c>
      <c r="J40" s="3">
        <v>63.221942473487452</v>
      </c>
      <c r="K40" s="4">
        <v>2.4780051017752089E-2</v>
      </c>
      <c r="L40" s="1" t="s">
        <v>17</v>
      </c>
      <c r="M40" s="3">
        <v>30.1494</v>
      </c>
      <c r="N40" s="3">
        <v>35.433</v>
      </c>
      <c r="O40" s="13">
        <v>34.5762</v>
      </c>
    </row>
    <row r="41" spans="1:15">
      <c r="A41" s="5">
        <v>40</v>
      </c>
      <c r="B41" s="1">
        <v>24</v>
      </c>
      <c r="C41" s="3">
        <v>35.140749999999997</v>
      </c>
      <c r="D41" s="3">
        <v>15.916700000000001</v>
      </c>
      <c r="E41" s="3">
        <v>31.329249999999998</v>
      </c>
      <c r="F41" s="3">
        <v>711</v>
      </c>
      <c r="G41" s="3">
        <v>715.50671550671552</v>
      </c>
      <c r="H41" s="3">
        <v>4.5067155067154996</v>
      </c>
      <c r="I41" s="3">
        <v>99.721217669947364</v>
      </c>
      <c r="J41" s="3">
        <v>86.846723125047689</v>
      </c>
      <c r="K41" s="4">
        <v>2.5102075123873266E-3</v>
      </c>
      <c r="L41" s="1" t="s">
        <v>16</v>
      </c>
      <c r="M41" s="3">
        <v>35.096699999999998</v>
      </c>
      <c r="N41" s="3">
        <v>35.184800000000003</v>
      </c>
      <c r="O41" s="13">
        <v>34.641800000000003</v>
      </c>
    </row>
    <row r="42" spans="1:15">
      <c r="A42" s="5">
        <v>41</v>
      </c>
      <c r="B42" s="1">
        <v>27</v>
      </c>
      <c r="C42" s="3">
        <v>35.2866</v>
      </c>
      <c r="D42" s="3">
        <v>15.185600000000001</v>
      </c>
      <c r="E42" s="3">
        <v>31.851800000000001</v>
      </c>
      <c r="F42" s="3">
        <v>555</v>
      </c>
      <c r="G42" s="3">
        <v>559.21855921855922</v>
      </c>
      <c r="H42" s="3">
        <v>4.2185592185592</v>
      </c>
      <c r="I42" s="3">
        <v>99.721217669947364</v>
      </c>
      <c r="J42" s="3">
        <v>65.144579232471202</v>
      </c>
      <c r="K42" s="4">
        <v>4.7325108725603145E-3</v>
      </c>
      <c r="L42" s="1" t="s">
        <v>17</v>
      </c>
      <c r="M42" s="3">
        <v>30.335999999999999</v>
      </c>
      <c r="N42" s="3">
        <v>35.203299999999999</v>
      </c>
      <c r="O42" s="13">
        <v>35.369900000000001</v>
      </c>
    </row>
    <row r="43" spans="1:15">
      <c r="A43" s="5">
        <v>42</v>
      </c>
      <c r="B43" s="1">
        <v>40</v>
      </c>
      <c r="C43" s="3">
        <v>35.390100000000004</v>
      </c>
      <c r="D43" s="3">
        <v>15.8993</v>
      </c>
      <c r="E43" s="3">
        <v>31.616499999999998</v>
      </c>
      <c r="F43" s="3">
        <v>706</v>
      </c>
      <c r="G43" s="3">
        <v>710.62271062271066</v>
      </c>
      <c r="H43" s="3">
        <v>4.6227106227107004</v>
      </c>
      <c r="I43" s="3">
        <v>99.721217669947364</v>
      </c>
      <c r="J43" s="3">
        <v>86.675059128709847</v>
      </c>
      <c r="K43" s="4">
        <v>5.0593754249194317E-3</v>
      </c>
      <c r="L43" s="1" t="s">
        <v>15</v>
      </c>
      <c r="M43" s="3">
        <v>35.300800000000002</v>
      </c>
      <c r="N43" s="3">
        <v>35.1</v>
      </c>
      <c r="O43" s="13">
        <v>35.479399999999998</v>
      </c>
    </row>
    <row r="44" spans="1:15">
      <c r="A44" s="5">
        <v>43</v>
      </c>
      <c r="B44" s="1">
        <v>36</v>
      </c>
      <c r="C44" s="3">
        <v>35.440249999999999</v>
      </c>
      <c r="D44" s="3">
        <v>15.36585</v>
      </c>
      <c r="E44" s="3">
        <v>31.935549999999999</v>
      </c>
      <c r="F44" s="3">
        <v>728</v>
      </c>
      <c r="G44" s="3">
        <v>732.60073260073261</v>
      </c>
      <c r="H44" s="3">
        <v>4.6007326007326004</v>
      </c>
      <c r="I44" s="3">
        <v>99.721217669947364</v>
      </c>
      <c r="J44" s="3">
        <v>89.66582742046235</v>
      </c>
      <c r="K44" s="4">
        <v>1.7536618828311437E-2</v>
      </c>
      <c r="L44" s="1" t="s">
        <v>17</v>
      </c>
      <c r="M44" s="3">
        <v>36.988799999999998</v>
      </c>
      <c r="N44" s="3">
        <v>35.7483</v>
      </c>
      <c r="O44" s="13">
        <v>35.132199999999997</v>
      </c>
    </row>
    <row r="45" spans="1:15">
      <c r="A45" s="5">
        <v>44</v>
      </c>
      <c r="B45" s="1">
        <v>60</v>
      </c>
      <c r="C45" s="3">
        <v>35.487650000000002</v>
      </c>
      <c r="D45" s="3">
        <v>15.535600000000001</v>
      </c>
      <c r="E45" s="3">
        <v>31.90325</v>
      </c>
      <c r="F45" s="3">
        <v>564</v>
      </c>
      <c r="G45" s="3">
        <v>567.76556776556777</v>
      </c>
      <c r="H45" s="3">
        <v>3.7655677655678002</v>
      </c>
      <c r="I45" s="3">
        <v>99.721217669947364</v>
      </c>
      <c r="J45" s="3">
        <v>67.204547188525211</v>
      </c>
      <c r="K45" s="4">
        <v>8.0264133220921078E-3</v>
      </c>
      <c r="L45" s="1" t="s">
        <v>15</v>
      </c>
      <c r="M45" s="3">
        <v>35.345799999999997</v>
      </c>
      <c r="N45" s="3">
        <v>34.514899999999997</v>
      </c>
      <c r="O45" s="13">
        <v>35.6295</v>
      </c>
    </row>
    <row r="46" spans="1:15">
      <c r="A46" s="5">
        <v>45</v>
      </c>
      <c r="B46" s="1">
        <v>9</v>
      </c>
      <c r="C46" s="3">
        <v>35.656099999999995</v>
      </c>
      <c r="D46" s="3">
        <v>14.187150000000001</v>
      </c>
      <c r="E46" s="3">
        <v>32.7117</v>
      </c>
      <c r="F46" s="3">
        <v>591</v>
      </c>
      <c r="G46" s="3">
        <v>595.23809523809518</v>
      </c>
      <c r="H46" s="3">
        <v>4.2380952380951999</v>
      </c>
      <c r="I46" s="3">
        <v>99.721217669947364</v>
      </c>
      <c r="J46" s="3">
        <v>69.916838330662998</v>
      </c>
      <c r="K46" s="4">
        <v>1.1905735912721482E-2</v>
      </c>
      <c r="L46" s="1" t="s">
        <v>15</v>
      </c>
      <c r="M46" s="3">
        <v>35.867100000000001</v>
      </c>
      <c r="N46" s="3">
        <v>34.734900000000003</v>
      </c>
      <c r="O46" s="13">
        <v>35.445099999999996</v>
      </c>
    </row>
    <row r="47" spans="1:15">
      <c r="A47" s="5">
        <v>46</v>
      </c>
      <c r="B47" s="1">
        <v>46</v>
      </c>
      <c r="C47" s="3">
        <v>35.771249999999995</v>
      </c>
      <c r="D47" s="3">
        <v>15.763749999999998</v>
      </c>
      <c r="E47" s="3">
        <v>32.105850000000004</v>
      </c>
      <c r="F47" s="3">
        <v>716</v>
      </c>
      <c r="G47" s="3">
        <v>720.39072039072039</v>
      </c>
      <c r="H47" s="3">
        <v>4.3907203907204</v>
      </c>
      <c r="I47" s="3">
        <v>99.724193179217195</v>
      </c>
      <c r="J47" s="3">
        <v>88.040741588464186</v>
      </c>
      <c r="K47" s="4">
        <v>8.9492557263161961E-3</v>
      </c>
      <c r="L47" s="1" t="s">
        <v>16</v>
      </c>
      <c r="M47" s="3">
        <v>35.611899999999999</v>
      </c>
      <c r="N47" s="3">
        <v>35.930599999999998</v>
      </c>
      <c r="O47" s="13">
        <v>34.7151</v>
      </c>
    </row>
    <row r="48" spans="1:15">
      <c r="A48" s="5">
        <v>47</v>
      </c>
      <c r="B48" s="1">
        <v>16</v>
      </c>
      <c r="C48" s="3">
        <v>35.799350000000004</v>
      </c>
      <c r="D48" s="3">
        <v>15.587</v>
      </c>
      <c r="E48" s="3">
        <v>32.226799999999997</v>
      </c>
      <c r="F48" s="3">
        <v>750</v>
      </c>
      <c r="G48" s="3">
        <v>754.57875457875457</v>
      </c>
      <c r="H48" s="3">
        <v>4.5787545787545998</v>
      </c>
      <c r="I48" s="3">
        <v>99.721217669947364</v>
      </c>
      <c r="J48" s="3">
        <v>92.626077668421459</v>
      </c>
      <c r="K48" s="4">
        <v>5.3804550279667003E-3</v>
      </c>
      <c r="L48" s="1" t="s">
        <v>17</v>
      </c>
      <c r="M48" s="3">
        <v>36.428899999999999</v>
      </c>
      <c r="N48" s="3">
        <v>35.703299999999999</v>
      </c>
      <c r="O48" s="13">
        <v>35.895400000000002</v>
      </c>
    </row>
    <row r="49" spans="1:15">
      <c r="A49" s="5">
        <v>48</v>
      </c>
      <c r="B49" s="1">
        <v>11</v>
      </c>
      <c r="C49" s="3">
        <v>35.955199999999998</v>
      </c>
      <c r="D49" s="3">
        <v>15.7441</v>
      </c>
      <c r="E49" s="3">
        <v>32.324550000000002</v>
      </c>
      <c r="F49" s="3">
        <v>735</v>
      </c>
      <c r="G49" s="3">
        <v>739.31623931623926</v>
      </c>
      <c r="H49" s="3">
        <v>4.3162393162393</v>
      </c>
      <c r="I49" s="3">
        <v>99.721217669947364</v>
      </c>
      <c r="J49" s="3">
        <v>90.18463416495004</v>
      </c>
      <c r="K49" s="4">
        <v>6.9661516477628202E-3</v>
      </c>
      <c r="L49" s="1" t="s">
        <v>17</v>
      </c>
      <c r="M49" s="3">
        <v>36.904899999999998</v>
      </c>
      <c r="N49" s="3">
        <v>35.830399999999997</v>
      </c>
      <c r="O49" s="13">
        <v>36.08</v>
      </c>
    </row>
    <row r="50" spans="1:15">
      <c r="A50" s="5">
        <v>49</v>
      </c>
      <c r="B50" s="1">
        <v>55</v>
      </c>
      <c r="C50" s="3">
        <v>36.105999999999995</v>
      </c>
      <c r="D50" s="3">
        <v>14.961499999999999</v>
      </c>
      <c r="E50" s="3">
        <v>32.859949999999998</v>
      </c>
      <c r="F50" s="3">
        <v>595</v>
      </c>
      <c r="G50" s="3">
        <v>598.90109890109886</v>
      </c>
      <c r="H50" s="3">
        <v>3.9010989010989001</v>
      </c>
      <c r="I50" s="3">
        <v>99.721217669947364</v>
      </c>
      <c r="J50" s="3">
        <v>71.026932173647666</v>
      </c>
      <c r="K50" s="4">
        <v>9.9198949003278993E-3</v>
      </c>
      <c r="L50" s="1" t="s">
        <v>17</v>
      </c>
      <c r="M50" s="3">
        <v>33.2303</v>
      </c>
      <c r="N50" s="3">
        <v>35.927799999999998</v>
      </c>
      <c r="O50" s="13">
        <v>36.284199999999998</v>
      </c>
    </row>
    <row r="51" spans="1:15">
      <c r="A51" s="5">
        <v>50</v>
      </c>
      <c r="B51" s="1">
        <v>13</v>
      </c>
      <c r="C51" s="3">
        <v>36.113799999999998</v>
      </c>
      <c r="D51" s="3">
        <v>16.09085</v>
      </c>
      <c r="E51" s="3">
        <v>32.3294</v>
      </c>
      <c r="F51" s="3">
        <v>722</v>
      </c>
      <c r="G51" s="3">
        <v>726.49572649572644</v>
      </c>
      <c r="H51" s="3">
        <v>4.4957264957263998</v>
      </c>
      <c r="I51" s="3">
        <v>99.721217669947364</v>
      </c>
      <c r="J51" s="3">
        <v>88.536659800106818</v>
      </c>
      <c r="K51" s="4">
        <v>4.5459717639092564E-3</v>
      </c>
      <c r="L51" s="1" t="s">
        <v>15</v>
      </c>
      <c r="M51" s="3">
        <v>36.0319</v>
      </c>
      <c r="N51" s="3">
        <v>36.639000000000003</v>
      </c>
      <c r="O51" s="13">
        <v>36.195700000000002</v>
      </c>
    </row>
    <row r="52" spans="1:15">
      <c r="A52" s="5">
        <v>51</v>
      </c>
      <c r="B52" s="1">
        <v>29</v>
      </c>
      <c r="C52" s="3">
        <v>36.296250000000001</v>
      </c>
      <c r="D52" s="3">
        <v>15.930249999999999</v>
      </c>
      <c r="E52" s="3">
        <v>32.613250000000001</v>
      </c>
      <c r="F52" s="3">
        <v>742</v>
      </c>
      <c r="G52" s="3">
        <v>746.64224664224662</v>
      </c>
      <c r="H52" s="3">
        <v>4.6422466422466</v>
      </c>
      <c r="I52" s="3">
        <v>99.718242160677505</v>
      </c>
      <c r="J52" s="3">
        <v>91.523613336385139</v>
      </c>
      <c r="K52" s="4">
        <v>1.6075175572351438E-3</v>
      </c>
      <c r="L52" s="1" t="s">
        <v>17</v>
      </c>
      <c r="M52" s="3">
        <v>35.756700000000002</v>
      </c>
      <c r="N52" s="3">
        <v>36.267099999999999</v>
      </c>
      <c r="O52" s="13">
        <v>36.325400000000002</v>
      </c>
    </row>
    <row r="53" spans="1:15">
      <c r="A53" s="5">
        <v>52</v>
      </c>
      <c r="B53" s="1">
        <v>59</v>
      </c>
      <c r="C53" s="3">
        <v>36.470100000000002</v>
      </c>
      <c r="D53" s="3">
        <v>15.65225</v>
      </c>
      <c r="E53" s="3">
        <v>32.936250000000001</v>
      </c>
      <c r="F53" s="3">
        <v>719</v>
      </c>
      <c r="G53" s="3">
        <v>723.44322344322347</v>
      </c>
      <c r="H53" s="3">
        <v>4.4432234432235003</v>
      </c>
      <c r="I53" s="3">
        <v>99.724193179217195</v>
      </c>
      <c r="J53" s="3">
        <v>88.860914015411609</v>
      </c>
      <c r="K53" s="4">
        <v>1.8083572889027764E-2</v>
      </c>
      <c r="L53" s="1" t="s">
        <v>17</v>
      </c>
      <c r="M53" s="3">
        <v>35.186199999999999</v>
      </c>
      <c r="N53" s="3">
        <v>36.143300000000004</v>
      </c>
      <c r="O53" s="13">
        <v>36.796900000000001</v>
      </c>
    </row>
    <row r="54" spans="1:15">
      <c r="A54" s="5">
        <v>53</v>
      </c>
      <c r="B54" s="1">
        <v>30</v>
      </c>
      <c r="C54" s="3">
        <v>36.534550000000003</v>
      </c>
      <c r="D54" s="3">
        <v>14.973750000000001</v>
      </c>
      <c r="E54" s="3">
        <v>33.32385</v>
      </c>
      <c r="F54" s="3">
        <v>598</v>
      </c>
      <c r="G54" s="3">
        <v>601.95360195360195</v>
      </c>
      <c r="H54" s="3">
        <v>3.953601953602</v>
      </c>
      <c r="I54" s="3">
        <v>99.721217669947364</v>
      </c>
      <c r="J54" s="3">
        <v>71.240558480201415</v>
      </c>
      <c r="K54" s="4">
        <v>5.0102120716004578E-4</v>
      </c>
      <c r="L54" s="1" t="s">
        <v>17</v>
      </c>
      <c r="M54" s="3">
        <v>36.610599999999998</v>
      </c>
      <c r="N54" s="3">
        <v>36.543700000000001</v>
      </c>
      <c r="O54" s="13">
        <v>36.525399999999998</v>
      </c>
    </row>
    <row r="55" spans="1:15">
      <c r="A55" s="5">
        <v>54</v>
      </c>
      <c r="B55" s="1">
        <v>54</v>
      </c>
      <c r="C55" s="3">
        <v>36.67895</v>
      </c>
      <c r="D55" s="3">
        <v>16.051850000000002</v>
      </c>
      <c r="E55" s="3">
        <v>32.979999999999997</v>
      </c>
      <c r="F55" s="3">
        <v>746</v>
      </c>
      <c r="G55" s="3">
        <v>750.3052503052503</v>
      </c>
      <c r="H55" s="3">
        <v>4.3052503052502997</v>
      </c>
      <c r="I55" s="3">
        <v>99.721217669947364</v>
      </c>
      <c r="J55" s="3">
        <v>92.225528343633158</v>
      </c>
      <c r="K55" s="4">
        <v>3.3344347982818025E-3</v>
      </c>
      <c r="L55" s="1" t="s">
        <v>16</v>
      </c>
      <c r="M55" s="3">
        <v>36.74</v>
      </c>
      <c r="N55" s="3">
        <v>36.617899999999999</v>
      </c>
      <c r="O55" s="13">
        <v>36.277799999999999</v>
      </c>
    </row>
    <row r="56" spans="1:15">
      <c r="A56" s="5">
        <v>55</v>
      </c>
      <c r="B56" s="1">
        <v>25</v>
      </c>
      <c r="C56" s="3">
        <v>36.939900000000002</v>
      </c>
      <c r="D56" s="3">
        <v>15.766450000000001</v>
      </c>
      <c r="E56" s="3">
        <v>33.406099999999995</v>
      </c>
      <c r="F56" s="3">
        <v>612</v>
      </c>
      <c r="G56" s="3">
        <v>616.60561660561666</v>
      </c>
      <c r="H56" s="3">
        <v>4.6056166056167003</v>
      </c>
      <c r="I56" s="3">
        <v>99.721217669947364</v>
      </c>
      <c r="J56" s="3">
        <v>72.999160753795678</v>
      </c>
      <c r="K56" s="4">
        <v>7.1887327617122954E-3</v>
      </c>
      <c r="L56" s="1" t="s">
        <v>17</v>
      </c>
      <c r="M56" s="3">
        <v>30.4452</v>
      </c>
      <c r="N56" s="3">
        <v>37.072200000000002</v>
      </c>
      <c r="O56" s="13">
        <v>36.807600000000001</v>
      </c>
    </row>
    <row r="57" spans="1:15">
      <c r="A57" s="5">
        <v>56</v>
      </c>
      <c r="B57" s="1">
        <v>14</v>
      </c>
      <c r="C57" s="3">
        <v>36.991600000000005</v>
      </c>
      <c r="D57" s="3">
        <v>15.808999999999999</v>
      </c>
      <c r="E57" s="3">
        <v>33.443249999999999</v>
      </c>
      <c r="F57" s="3">
        <v>604</v>
      </c>
      <c r="G57" s="3">
        <v>608.05860805860812</v>
      </c>
      <c r="H57" s="3">
        <v>4.0586080586081001</v>
      </c>
      <c r="I57" s="3">
        <v>99.721217669947364</v>
      </c>
      <c r="J57" s="3">
        <v>71.946288242923629</v>
      </c>
      <c r="K57" s="4">
        <v>3.1950092871880697E-3</v>
      </c>
      <c r="L57" s="1" t="s">
        <v>17</v>
      </c>
      <c r="M57" s="3">
        <v>32.5901</v>
      </c>
      <c r="N57" s="3">
        <v>36.932600000000001</v>
      </c>
      <c r="O57" s="13">
        <v>37.050600000000003</v>
      </c>
    </row>
    <row r="58" spans="1:15">
      <c r="A58" s="5">
        <v>57</v>
      </c>
      <c r="B58" s="1">
        <v>6</v>
      </c>
      <c r="C58" s="3">
        <v>42.854999999999997</v>
      </c>
      <c r="D58" s="3">
        <v>14.112</v>
      </c>
      <c r="E58" s="3">
        <v>40.46255</v>
      </c>
      <c r="F58" s="3">
        <v>572</v>
      </c>
      <c r="G58" s="3">
        <v>575.70207570207572</v>
      </c>
      <c r="H58" s="3">
        <v>3.7020757020757</v>
      </c>
      <c r="I58" s="3">
        <v>99.721217669947364</v>
      </c>
      <c r="J58" s="3">
        <v>67.002365148393991</v>
      </c>
      <c r="K58" s="4">
        <v>6.5176796578519505E-2</v>
      </c>
      <c r="L58" s="1" t="s">
        <v>15</v>
      </c>
      <c r="M58" s="3">
        <v>41.502499999999998</v>
      </c>
      <c r="N58" s="3">
        <v>90.8262</v>
      </c>
      <c r="O58" s="13">
        <v>44.207500000000003</v>
      </c>
    </row>
    <row r="59" spans="1:15">
      <c r="A59" s="5">
        <v>58</v>
      </c>
      <c r="B59" s="1">
        <v>37</v>
      </c>
      <c r="C59" s="3">
        <v>43.626049999999999</v>
      </c>
      <c r="D59" s="3">
        <v>14.370749999999999</v>
      </c>
      <c r="E59" s="3">
        <v>41.190449999999998</v>
      </c>
      <c r="F59" s="3">
        <v>586</v>
      </c>
      <c r="G59" s="3">
        <v>589.74358974358972</v>
      </c>
      <c r="H59" s="3">
        <v>3.7435897435897001</v>
      </c>
      <c r="I59" s="3">
        <v>99.721217669947364</v>
      </c>
      <c r="J59" s="3">
        <v>69.638361181048296</v>
      </c>
      <c r="K59" s="4">
        <v>1.0618559774694396E-3</v>
      </c>
      <c r="L59" s="1" t="s">
        <v>17</v>
      </c>
      <c r="M59" s="3">
        <v>34.854700000000001</v>
      </c>
      <c r="N59" s="3">
        <v>43.6492</v>
      </c>
      <c r="O59" s="13">
        <v>43.602899999999998</v>
      </c>
    </row>
    <row r="60" spans="1:15">
      <c r="A60" s="5">
        <v>59</v>
      </c>
      <c r="B60" s="1">
        <v>20</v>
      </c>
      <c r="C60" s="3">
        <v>45.274700000000003</v>
      </c>
      <c r="D60" s="3">
        <v>14.18065</v>
      </c>
      <c r="E60" s="3">
        <v>42.987749999999998</v>
      </c>
      <c r="F60" s="3">
        <v>581</v>
      </c>
      <c r="G60" s="3">
        <v>584.85958485958486</v>
      </c>
      <c r="H60" s="3">
        <v>3.8595848595849001</v>
      </c>
      <c r="I60" s="3">
        <v>99.721217669947364</v>
      </c>
      <c r="J60" s="3">
        <v>68.741893644617377</v>
      </c>
      <c r="K60" s="4">
        <v>1.6039363679880774E-2</v>
      </c>
      <c r="L60" s="1" t="s">
        <v>16</v>
      </c>
      <c r="M60" s="3">
        <v>44.914499999999997</v>
      </c>
      <c r="N60" s="3">
        <v>45.634900000000002</v>
      </c>
      <c r="O60" s="13">
        <v>35.044400000000003</v>
      </c>
    </row>
    <row r="61" spans="1:15">
      <c r="A61" s="10">
        <v>60</v>
      </c>
      <c r="B61" s="14">
        <v>49</v>
      </c>
      <c r="C61" s="11">
        <v>94.415649999999999</v>
      </c>
      <c r="D61" s="11">
        <v>14.346399999999999</v>
      </c>
      <c r="E61" s="11">
        <v>93.319299999999998</v>
      </c>
      <c r="F61" s="11">
        <v>576</v>
      </c>
      <c r="G61" s="11">
        <v>579.97557997557999</v>
      </c>
      <c r="H61" s="11">
        <v>3.9755799755800001</v>
      </c>
      <c r="I61" s="11">
        <v>99.724193179217195</v>
      </c>
      <c r="J61" s="11">
        <v>68.35278858625162</v>
      </c>
      <c r="K61" s="15">
        <v>1.5529170162304423E-2</v>
      </c>
      <c r="L61" s="14" t="s">
        <v>17</v>
      </c>
      <c r="M61" s="11">
        <v>47.7896</v>
      </c>
      <c r="N61" s="11">
        <v>93.688199999999995</v>
      </c>
      <c r="O61" s="16">
        <v>95.143100000000004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C0CB-7EA3-4F4B-AB92-CF007D4FB1D8}">
  <dimension ref="A1:J61"/>
  <sheetViews>
    <sheetView workbookViewId="0"/>
  </sheetViews>
  <sheetFormatPr defaultRowHeight="13.9"/>
  <cols>
    <col min="1" max="1" width="5.796875" customWidth="1"/>
    <col min="2" max="3" width="10.19921875" customWidth="1"/>
    <col min="4" max="4" width="11.796875" customWidth="1"/>
    <col min="5" max="7" width="7.06640625" bestFit="1" customWidth="1"/>
    <col min="8" max="8" width="11.265625" customWidth="1"/>
    <col min="9" max="9" width="10.46484375" customWidth="1"/>
    <col min="10" max="10" width="10.59765625" customWidth="1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>
      <c r="A2" s="5">
        <v>1</v>
      </c>
      <c r="B2" s="3">
        <v>505</v>
      </c>
      <c r="C2" s="3">
        <v>509.15750915750914</v>
      </c>
      <c r="D2" s="3">
        <v>4.1575091575091401</v>
      </c>
      <c r="E2" s="3">
        <v>34.09225</v>
      </c>
      <c r="F2" s="3">
        <v>23.026200000000003</v>
      </c>
      <c r="G2" s="3">
        <v>25.13175</v>
      </c>
      <c r="H2" s="3">
        <v>99.721217669947364</v>
      </c>
      <c r="I2" s="3">
        <v>57.862211032272832</v>
      </c>
      <c r="J2" s="6">
        <v>1.1005620203382192E-3</v>
      </c>
    </row>
    <row r="3" spans="1:10">
      <c r="A3" s="5">
        <v>2</v>
      </c>
      <c r="B3" s="3">
        <v>547</v>
      </c>
      <c r="C3" s="3">
        <v>550.67155067155068</v>
      </c>
      <c r="D3" s="3">
        <v>3.6715506715506998</v>
      </c>
      <c r="E3" s="3">
        <v>30.624400000000001</v>
      </c>
      <c r="F3" s="3">
        <v>16.974550000000001</v>
      </c>
      <c r="G3" s="3">
        <v>25.488050000000001</v>
      </c>
      <c r="H3" s="3">
        <v>99.721217669947364</v>
      </c>
      <c r="I3" s="3">
        <v>63.561455710688946</v>
      </c>
      <c r="J3" s="6">
        <v>2.2667529688387599E-2</v>
      </c>
    </row>
    <row r="4" spans="1:10">
      <c r="A4" s="5">
        <v>3</v>
      </c>
      <c r="B4" s="3">
        <v>522</v>
      </c>
      <c r="C4" s="3">
        <v>526.25152625152623</v>
      </c>
      <c r="D4" s="3">
        <v>4.2515262515262</v>
      </c>
      <c r="E4" s="3">
        <v>34.555349999999997</v>
      </c>
      <c r="F4" s="3">
        <v>21.035350000000001</v>
      </c>
      <c r="G4" s="3">
        <v>27.414850000000001</v>
      </c>
      <c r="H4" s="3">
        <v>99.721217669947364</v>
      </c>
      <c r="I4" s="3">
        <v>60.131990539406424</v>
      </c>
      <c r="J4" s="6">
        <v>3.1274093225202681E-3</v>
      </c>
    </row>
    <row r="5" spans="1:10">
      <c r="A5" s="5">
        <v>4</v>
      </c>
      <c r="B5" s="3">
        <v>620</v>
      </c>
      <c r="C5" s="3">
        <v>623.9316239316239</v>
      </c>
      <c r="D5" s="3">
        <v>3.9316239316238999</v>
      </c>
      <c r="E5" s="3">
        <v>31.8338</v>
      </c>
      <c r="F5" s="3">
        <v>17.00705</v>
      </c>
      <c r="G5" s="3">
        <v>26.908049999999999</v>
      </c>
      <c r="H5" s="3">
        <v>99.721217669947364</v>
      </c>
      <c r="I5" s="3">
        <v>73.651483939879455</v>
      </c>
      <c r="J5" s="6">
        <v>8.9549695663560525E-3</v>
      </c>
    </row>
    <row r="6" spans="1:10">
      <c r="A6" s="5">
        <v>5</v>
      </c>
      <c r="B6" s="3">
        <v>561</v>
      </c>
      <c r="C6" s="3">
        <v>564.71306471306468</v>
      </c>
      <c r="D6" s="3">
        <v>3.7130647130646999</v>
      </c>
      <c r="E6" s="3">
        <v>34.701650000000001</v>
      </c>
      <c r="F6" s="3">
        <v>15.287649999999999</v>
      </c>
      <c r="G6" s="3">
        <v>31.1525</v>
      </c>
      <c r="H6" s="3">
        <v>99.721217669947364</v>
      </c>
      <c r="I6" s="3">
        <v>65.476462958724341</v>
      </c>
      <c r="J6" s="6">
        <v>6.8896531247020264E-4</v>
      </c>
    </row>
    <row r="7" spans="1:10">
      <c r="A7" s="5">
        <v>6</v>
      </c>
      <c r="B7" s="3">
        <v>572</v>
      </c>
      <c r="C7" s="3">
        <v>575.70207570207572</v>
      </c>
      <c r="D7" s="3">
        <v>3.7020757020757</v>
      </c>
      <c r="E7" s="3">
        <v>42.854999999999997</v>
      </c>
      <c r="F7" s="3">
        <v>14.112</v>
      </c>
      <c r="G7" s="3">
        <v>40.46255</v>
      </c>
      <c r="H7" s="3">
        <v>99.721217669947364</v>
      </c>
      <c r="I7" s="3">
        <v>67.002365148393991</v>
      </c>
      <c r="J7" s="6">
        <v>6.5176796578519505E-2</v>
      </c>
    </row>
    <row r="8" spans="1:10">
      <c r="A8" s="5">
        <v>7</v>
      </c>
      <c r="B8" s="3">
        <v>689</v>
      </c>
      <c r="C8" s="3">
        <v>693.52869352869357</v>
      </c>
      <c r="D8" s="3">
        <v>4.5286935286935996</v>
      </c>
      <c r="E8" s="3">
        <v>34.741299999999995</v>
      </c>
      <c r="F8" s="3">
        <v>16.129049999999999</v>
      </c>
      <c r="G8" s="3">
        <v>30.770199999999999</v>
      </c>
      <c r="H8" s="3">
        <v>99.721217669947364</v>
      </c>
      <c r="I8" s="3">
        <v>83.485923552300292</v>
      </c>
      <c r="J8" s="6">
        <v>2.8788328060265516E-4</v>
      </c>
    </row>
    <row r="9" spans="1:10">
      <c r="A9" s="5">
        <v>8</v>
      </c>
      <c r="B9" s="3">
        <v>674</v>
      </c>
      <c r="C9" s="3">
        <v>678.87667887667885</v>
      </c>
      <c r="D9" s="3">
        <v>4.8766788766789002</v>
      </c>
      <c r="E9" s="3">
        <v>33.606700000000004</v>
      </c>
      <c r="F9" s="3">
        <v>16.173500000000001</v>
      </c>
      <c r="G9" s="3">
        <v>29.458600000000001</v>
      </c>
      <c r="H9" s="3">
        <v>99.721217669947364</v>
      </c>
      <c r="I9" s="3">
        <v>81.498435950255583</v>
      </c>
      <c r="J9" s="6">
        <v>8.0785145571606355E-3</v>
      </c>
    </row>
    <row r="10" spans="1:10">
      <c r="A10" s="5">
        <v>9</v>
      </c>
      <c r="B10" s="3">
        <v>591</v>
      </c>
      <c r="C10" s="3">
        <v>595.23809523809518</v>
      </c>
      <c r="D10" s="3">
        <v>4.2380952380951999</v>
      </c>
      <c r="E10" s="3">
        <v>35.656099999999995</v>
      </c>
      <c r="F10" s="3">
        <v>14.187150000000001</v>
      </c>
      <c r="G10" s="3">
        <v>32.7117</v>
      </c>
      <c r="H10" s="3">
        <v>99.721217669947364</v>
      </c>
      <c r="I10" s="3">
        <v>69.916838330662998</v>
      </c>
      <c r="J10" s="6">
        <v>1.1905735912721482E-2</v>
      </c>
    </row>
    <row r="11" spans="1:10">
      <c r="A11" s="5">
        <v>10</v>
      </c>
      <c r="B11" s="3">
        <v>640</v>
      </c>
      <c r="C11" s="3">
        <v>644.68864468864467</v>
      </c>
      <c r="D11" s="3">
        <v>4.6886446886447004</v>
      </c>
      <c r="E11" s="3">
        <v>32.570050000000002</v>
      </c>
      <c r="F11" s="3">
        <v>16.625399999999999</v>
      </c>
      <c r="G11" s="3">
        <v>28.006900000000002</v>
      </c>
      <c r="H11" s="3">
        <v>99.721217669947364</v>
      </c>
      <c r="I11" s="3">
        <v>76.760509651331347</v>
      </c>
      <c r="J11" s="6">
        <v>6.1440762789379969E-3</v>
      </c>
    </row>
    <row r="12" spans="1:10">
      <c r="A12" s="5">
        <v>11</v>
      </c>
      <c r="B12" s="3">
        <v>735</v>
      </c>
      <c r="C12" s="3">
        <v>739.31623931623926</v>
      </c>
      <c r="D12" s="3">
        <v>4.3162393162393</v>
      </c>
      <c r="E12" s="3">
        <v>35.955199999999998</v>
      </c>
      <c r="F12" s="3">
        <v>15.7441</v>
      </c>
      <c r="G12" s="3">
        <v>32.324550000000002</v>
      </c>
      <c r="H12" s="3">
        <v>99.721217669947364</v>
      </c>
      <c r="I12" s="3">
        <v>90.18463416495004</v>
      </c>
      <c r="J12" s="6">
        <v>6.9661516477628202E-3</v>
      </c>
    </row>
    <row r="13" spans="1:10">
      <c r="A13" s="5">
        <v>12</v>
      </c>
      <c r="B13" s="3">
        <v>660</v>
      </c>
      <c r="C13" s="3">
        <v>664.83516483516485</v>
      </c>
      <c r="D13" s="3">
        <v>4.8351648351648002</v>
      </c>
      <c r="E13" s="3">
        <v>33.328450000000004</v>
      </c>
      <c r="F13" s="3">
        <v>16.926449999999999</v>
      </c>
      <c r="G13" s="3">
        <v>28.70815</v>
      </c>
      <c r="H13" s="3">
        <v>99.721217669947364</v>
      </c>
      <c r="I13" s="3">
        <v>79.774166475928894</v>
      </c>
      <c r="J13" s="6">
        <v>9.5174642605198485E-3</v>
      </c>
    </row>
    <row r="14" spans="1:10">
      <c r="A14" s="5">
        <v>13</v>
      </c>
      <c r="B14" s="3">
        <v>722</v>
      </c>
      <c r="C14" s="3">
        <v>726.49572649572644</v>
      </c>
      <c r="D14" s="3">
        <v>4.4957264957263998</v>
      </c>
      <c r="E14" s="3">
        <v>36.113799999999998</v>
      </c>
      <c r="F14" s="3">
        <v>16.09085</v>
      </c>
      <c r="G14" s="3">
        <v>32.3294</v>
      </c>
      <c r="H14" s="3">
        <v>99.721217669947364</v>
      </c>
      <c r="I14" s="3">
        <v>88.536659800106818</v>
      </c>
      <c r="J14" s="6">
        <v>4.5459717639092564E-3</v>
      </c>
    </row>
    <row r="15" spans="1:10">
      <c r="A15" s="5">
        <v>14</v>
      </c>
      <c r="B15" s="3">
        <v>604</v>
      </c>
      <c r="C15" s="3">
        <v>608.05860805860812</v>
      </c>
      <c r="D15" s="3">
        <v>4.0586080586081001</v>
      </c>
      <c r="E15" s="3">
        <v>36.991600000000005</v>
      </c>
      <c r="F15" s="3">
        <v>15.808999999999999</v>
      </c>
      <c r="G15" s="3">
        <v>33.443249999999999</v>
      </c>
      <c r="H15" s="3">
        <v>99.721217669947364</v>
      </c>
      <c r="I15" s="3">
        <v>71.946288242923629</v>
      </c>
      <c r="J15" s="6">
        <v>3.1950092871880697E-3</v>
      </c>
    </row>
    <row r="16" spans="1:10">
      <c r="A16" s="5">
        <v>15</v>
      </c>
      <c r="B16" s="3">
        <v>701</v>
      </c>
      <c r="C16" s="3">
        <v>705.73870573870579</v>
      </c>
      <c r="D16" s="3">
        <v>4.7387057387058</v>
      </c>
      <c r="E16" s="3">
        <v>34.650400000000005</v>
      </c>
      <c r="F16" s="3">
        <v>15.616</v>
      </c>
      <c r="G16" s="3">
        <v>30.9313</v>
      </c>
      <c r="H16" s="3">
        <v>99.721217669947364</v>
      </c>
      <c r="I16" s="3">
        <v>85.633630884260313</v>
      </c>
      <c r="J16" s="6">
        <v>5.3069125864109151E-3</v>
      </c>
    </row>
    <row r="17" spans="1:10">
      <c r="A17" s="5">
        <v>16</v>
      </c>
      <c r="B17" s="3">
        <v>750</v>
      </c>
      <c r="C17" s="3">
        <v>754.57875457875457</v>
      </c>
      <c r="D17" s="3">
        <v>4.5787545787545998</v>
      </c>
      <c r="E17" s="3">
        <v>35.799350000000004</v>
      </c>
      <c r="F17" s="3">
        <v>15.587</v>
      </c>
      <c r="G17" s="3">
        <v>32.226799999999997</v>
      </c>
      <c r="H17" s="3">
        <v>99.721217669947364</v>
      </c>
      <c r="I17" s="3">
        <v>92.626077668421459</v>
      </c>
      <c r="J17" s="6">
        <v>5.3804550279667003E-3</v>
      </c>
    </row>
    <row r="18" spans="1:10">
      <c r="A18" s="5">
        <v>17</v>
      </c>
      <c r="B18" s="3">
        <v>535</v>
      </c>
      <c r="C18" s="3">
        <v>539.07203907203905</v>
      </c>
      <c r="D18" s="3">
        <v>4.0720390720389998</v>
      </c>
      <c r="E18" s="3">
        <v>33.67445</v>
      </c>
      <c r="F18" s="3">
        <v>16.849</v>
      </c>
      <c r="G18" s="3">
        <v>29.155899999999999</v>
      </c>
      <c r="H18" s="3">
        <v>99.718242160677505</v>
      </c>
      <c r="I18" s="3">
        <v>62.458991378652627</v>
      </c>
      <c r="J18" s="6">
        <v>1.5896961588079673E-2</v>
      </c>
    </row>
    <row r="19" spans="1:10">
      <c r="A19" s="5">
        <v>18</v>
      </c>
      <c r="B19" s="3">
        <v>630</v>
      </c>
      <c r="C19" s="3">
        <v>634.31013431013434</v>
      </c>
      <c r="D19" s="3">
        <v>4.3101343101343002</v>
      </c>
      <c r="E19" s="3">
        <v>32.669350000000001</v>
      </c>
      <c r="F19" s="3">
        <v>17.715600000000002</v>
      </c>
      <c r="G19" s="3">
        <v>27.448599999999999</v>
      </c>
      <c r="H19" s="3">
        <v>99.718242160677505</v>
      </c>
      <c r="I19" s="3">
        <v>75.589379720759894</v>
      </c>
      <c r="J19" s="6">
        <v>1.209815740468608E-3</v>
      </c>
    </row>
    <row r="20" spans="1:10">
      <c r="A20" s="5">
        <v>19</v>
      </c>
      <c r="B20" s="3">
        <v>651</v>
      </c>
      <c r="C20" s="3">
        <v>655.67765567765571</v>
      </c>
      <c r="D20" s="3">
        <v>4.6776556776557001</v>
      </c>
      <c r="E20" s="3">
        <v>32.448099999999997</v>
      </c>
      <c r="F20" s="3">
        <v>16.209350000000001</v>
      </c>
      <c r="G20" s="3">
        <v>28.108550000000001</v>
      </c>
      <c r="H20" s="3">
        <v>99.721217669947364</v>
      </c>
      <c r="I20" s="3">
        <v>78.572518501564048</v>
      </c>
      <c r="J20" s="6">
        <v>2.134912922085E-3</v>
      </c>
    </row>
    <row r="21" spans="1:10">
      <c r="A21" s="5">
        <v>20</v>
      </c>
      <c r="B21" s="3">
        <v>581</v>
      </c>
      <c r="C21" s="3">
        <v>584.85958485958486</v>
      </c>
      <c r="D21" s="3">
        <v>3.8595848595849001</v>
      </c>
      <c r="E21" s="3">
        <v>45.274700000000003</v>
      </c>
      <c r="F21" s="3">
        <v>14.18065</v>
      </c>
      <c r="G21" s="3">
        <v>42.987749999999998</v>
      </c>
      <c r="H21" s="3">
        <v>99.721217669947364</v>
      </c>
      <c r="I21" s="3">
        <v>68.741893644617377</v>
      </c>
      <c r="J21" s="6">
        <v>1.6039363679880774E-2</v>
      </c>
    </row>
    <row r="22" spans="1:10">
      <c r="A22" s="5">
        <v>21</v>
      </c>
      <c r="B22" s="3">
        <v>546</v>
      </c>
      <c r="C22" s="3">
        <v>550.06105006105008</v>
      </c>
      <c r="D22" s="3">
        <v>4.0610500610500999</v>
      </c>
      <c r="E22" s="3">
        <v>34.574399999999997</v>
      </c>
      <c r="F22" s="3">
        <v>16.7178</v>
      </c>
      <c r="G22" s="3">
        <v>30.248650000000001</v>
      </c>
      <c r="H22" s="3">
        <v>99.721217669947364</v>
      </c>
      <c r="I22" s="3">
        <v>63.855191882200351</v>
      </c>
      <c r="J22" s="6">
        <v>1.1112654535352963E-3</v>
      </c>
    </row>
    <row r="23" spans="1:10">
      <c r="A23" s="5">
        <v>22</v>
      </c>
      <c r="B23" s="3">
        <v>548</v>
      </c>
      <c r="C23" s="3">
        <v>551.89255189255186</v>
      </c>
      <c r="D23" s="3">
        <v>3.8925518925519</v>
      </c>
      <c r="E23" s="3">
        <v>34.223200000000006</v>
      </c>
      <c r="F23" s="3">
        <v>15.92315</v>
      </c>
      <c r="G23" s="3">
        <v>30.291250000000002</v>
      </c>
      <c r="H23" s="3">
        <v>99.721217669947364</v>
      </c>
      <c r="I23" s="3">
        <v>64.034485389486534</v>
      </c>
      <c r="J23" s="6">
        <v>3.3234513037743815E-2</v>
      </c>
    </row>
    <row r="24" spans="1:10">
      <c r="A24" s="5">
        <v>23</v>
      </c>
      <c r="B24" s="3">
        <v>545</v>
      </c>
      <c r="C24" s="3">
        <v>548.84004884004889</v>
      </c>
      <c r="D24" s="3">
        <v>3.8400488400489001</v>
      </c>
      <c r="E24" s="3">
        <v>34.647400000000005</v>
      </c>
      <c r="F24" s="3">
        <v>17.607749999999999</v>
      </c>
      <c r="G24" s="3">
        <v>29.83625</v>
      </c>
      <c r="H24" s="3">
        <v>99.721217669947364</v>
      </c>
      <c r="I24" s="3">
        <v>63.588158999008165</v>
      </c>
      <c r="J24" s="6">
        <v>5.8704336247323401E-3</v>
      </c>
    </row>
    <row r="25" spans="1:10">
      <c r="A25" s="5">
        <v>24</v>
      </c>
      <c r="B25" s="3">
        <v>711</v>
      </c>
      <c r="C25" s="3">
        <v>715.50671550671552</v>
      </c>
      <c r="D25" s="3">
        <v>4.5067155067154996</v>
      </c>
      <c r="E25" s="3">
        <v>35.140749999999997</v>
      </c>
      <c r="F25" s="3">
        <v>15.916700000000001</v>
      </c>
      <c r="G25" s="3">
        <v>31.329249999999998</v>
      </c>
      <c r="H25" s="3">
        <v>99.721217669947364</v>
      </c>
      <c r="I25" s="3">
        <v>86.846723125047689</v>
      </c>
      <c r="J25" s="6">
        <v>2.5102075123873266E-3</v>
      </c>
    </row>
    <row r="26" spans="1:10">
      <c r="A26" s="5">
        <v>25</v>
      </c>
      <c r="B26" s="3">
        <v>612</v>
      </c>
      <c r="C26" s="3">
        <v>616.60561660561666</v>
      </c>
      <c r="D26" s="3">
        <v>4.6056166056167003</v>
      </c>
      <c r="E26" s="3">
        <v>36.939900000000002</v>
      </c>
      <c r="F26" s="3">
        <v>15.766450000000001</v>
      </c>
      <c r="G26" s="3">
        <v>33.406099999999995</v>
      </c>
      <c r="H26" s="3">
        <v>99.721217669947364</v>
      </c>
      <c r="I26" s="3">
        <v>72.999160753795678</v>
      </c>
      <c r="J26" s="6">
        <v>7.1887327617122954E-3</v>
      </c>
    </row>
    <row r="27" spans="1:10">
      <c r="A27" s="5">
        <v>26</v>
      </c>
      <c r="B27" s="3">
        <v>667</v>
      </c>
      <c r="C27" s="3">
        <v>671.5506715506715</v>
      </c>
      <c r="D27" s="3">
        <v>4.5506715506714999</v>
      </c>
      <c r="E27" s="3">
        <v>34.139600000000002</v>
      </c>
      <c r="F27" s="3">
        <v>16.757649999999998</v>
      </c>
      <c r="G27" s="3">
        <v>29.74325</v>
      </c>
      <c r="H27" s="3">
        <v>99.718242160677505</v>
      </c>
      <c r="I27" s="3">
        <v>80.750743877317461</v>
      </c>
      <c r="J27" s="6">
        <v>6.8187963648761243E-3</v>
      </c>
    </row>
    <row r="28" spans="1:10">
      <c r="A28" s="5">
        <v>27</v>
      </c>
      <c r="B28" s="3">
        <v>555</v>
      </c>
      <c r="C28" s="3">
        <v>559.21855921855922</v>
      </c>
      <c r="D28" s="3">
        <v>4.2185592185592</v>
      </c>
      <c r="E28" s="3">
        <v>35.2866</v>
      </c>
      <c r="F28" s="3">
        <v>15.185600000000001</v>
      </c>
      <c r="G28" s="3">
        <v>31.851800000000001</v>
      </c>
      <c r="H28" s="3">
        <v>99.721217669947364</v>
      </c>
      <c r="I28" s="3">
        <v>65.144579232471202</v>
      </c>
      <c r="J28" s="6">
        <v>4.7325108725603145E-3</v>
      </c>
    </row>
    <row r="29" spans="1:10">
      <c r="A29" s="5">
        <v>28</v>
      </c>
      <c r="B29" s="3">
        <v>681</v>
      </c>
      <c r="C29" s="3">
        <v>685.59218559218561</v>
      </c>
      <c r="D29" s="3">
        <v>4.5921855921855999</v>
      </c>
      <c r="E29" s="3">
        <v>34.306550000000001</v>
      </c>
      <c r="F29" s="3">
        <v>15.99615</v>
      </c>
      <c r="G29" s="3">
        <v>30.345199999999998</v>
      </c>
      <c r="H29" s="3">
        <v>99.721217669947364</v>
      </c>
      <c r="I29" s="3">
        <v>82.799267566948956</v>
      </c>
      <c r="J29" s="6">
        <v>1.0411593323747623E-3</v>
      </c>
    </row>
    <row r="30" spans="1:10">
      <c r="A30" s="5">
        <v>29</v>
      </c>
      <c r="B30" s="3">
        <v>742</v>
      </c>
      <c r="C30" s="3">
        <v>746.64224664224662</v>
      </c>
      <c r="D30" s="3">
        <v>4.6422466422466</v>
      </c>
      <c r="E30" s="3">
        <v>36.296250000000001</v>
      </c>
      <c r="F30" s="3">
        <v>15.930249999999999</v>
      </c>
      <c r="G30" s="3">
        <v>32.613250000000001</v>
      </c>
      <c r="H30" s="3">
        <v>99.718242160677505</v>
      </c>
      <c r="I30" s="3">
        <v>91.523613336385139</v>
      </c>
      <c r="J30" s="6">
        <v>1.6075175572351438E-3</v>
      </c>
    </row>
    <row r="31" spans="1:10">
      <c r="A31" s="5">
        <v>30</v>
      </c>
      <c r="B31" s="3">
        <v>598</v>
      </c>
      <c r="C31" s="3">
        <v>601.95360195360195</v>
      </c>
      <c r="D31" s="3">
        <v>3.953601953602</v>
      </c>
      <c r="E31" s="3">
        <v>36.534550000000003</v>
      </c>
      <c r="F31" s="3">
        <v>14.973750000000001</v>
      </c>
      <c r="G31" s="3">
        <v>33.32385</v>
      </c>
      <c r="H31" s="3">
        <v>99.721217669947364</v>
      </c>
      <c r="I31" s="3">
        <v>71.240558480201415</v>
      </c>
      <c r="J31" s="6">
        <v>5.0102120716004578E-4</v>
      </c>
    </row>
    <row r="32" spans="1:10">
      <c r="A32" s="5">
        <v>31</v>
      </c>
      <c r="B32" s="3">
        <v>549</v>
      </c>
      <c r="C32" s="3">
        <v>553.11355311355317</v>
      </c>
      <c r="D32" s="3">
        <v>4.1135531135532002</v>
      </c>
      <c r="E32" s="3">
        <v>34.9345</v>
      </c>
      <c r="F32" s="3">
        <v>15.19495</v>
      </c>
      <c r="G32" s="3">
        <v>31.455100000000002</v>
      </c>
      <c r="H32" s="3">
        <v>99.721217669947364</v>
      </c>
      <c r="I32" s="3">
        <v>64.39688715953308</v>
      </c>
      <c r="J32" s="6">
        <v>1.965604781634591E-3</v>
      </c>
    </row>
    <row r="33" spans="1:10">
      <c r="A33" s="5">
        <v>32</v>
      </c>
      <c r="B33" s="3">
        <v>544</v>
      </c>
      <c r="C33" s="3">
        <v>548.22954822954819</v>
      </c>
      <c r="D33" s="3">
        <v>4.2295482295482003</v>
      </c>
      <c r="E33" s="3">
        <v>30.511050000000001</v>
      </c>
      <c r="F33" s="3">
        <v>16.831699999999998</v>
      </c>
      <c r="G33" s="3">
        <v>25.447600000000001</v>
      </c>
      <c r="H33" s="3">
        <v>99.721217669947364</v>
      </c>
      <c r="I33" s="3">
        <v>63.664454108491647</v>
      </c>
      <c r="J33" s="6">
        <v>2.4644363135182716E-3</v>
      </c>
    </row>
    <row r="34" spans="1:10">
      <c r="A34" s="5">
        <v>33</v>
      </c>
      <c r="B34" s="3">
        <v>543</v>
      </c>
      <c r="C34" s="3">
        <v>547.008547008547</v>
      </c>
      <c r="D34" s="3">
        <v>4.0085470085469996</v>
      </c>
      <c r="E34" s="3">
        <v>30.139399999999998</v>
      </c>
      <c r="F34" s="3">
        <v>16.245249999999999</v>
      </c>
      <c r="G34" s="3">
        <v>25.379100000000001</v>
      </c>
      <c r="H34" s="3">
        <v>99.718242160677505</v>
      </c>
      <c r="I34" s="3">
        <v>63.450827801937898</v>
      </c>
      <c r="J34" s="6">
        <v>1.0083966360101714E-2</v>
      </c>
    </row>
    <row r="35" spans="1:10">
      <c r="A35" s="5">
        <v>34</v>
      </c>
      <c r="B35" s="3">
        <v>625</v>
      </c>
      <c r="C35" s="3">
        <v>629.42612942612948</v>
      </c>
      <c r="D35" s="3">
        <v>4.4261294261295001</v>
      </c>
      <c r="E35" s="3">
        <v>32.122699999999995</v>
      </c>
      <c r="F35" s="3">
        <v>17.439900000000002</v>
      </c>
      <c r="G35" s="3">
        <v>26.9756</v>
      </c>
      <c r="H35" s="3">
        <v>99.721217669947364</v>
      </c>
      <c r="I35" s="3">
        <v>74.84931715877012</v>
      </c>
      <c r="J35" s="6">
        <v>6.0411671285764078E-4</v>
      </c>
    </row>
    <row r="36" spans="1:10">
      <c r="A36" s="5">
        <v>35</v>
      </c>
      <c r="B36" s="3">
        <v>695</v>
      </c>
      <c r="C36" s="3">
        <v>699.63369963369962</v>
      </c>
      <c r="D36" s="3">
        <v>4.6336996336996004</v>
      </c>
      <c r="E36" s="3">
        <v>34.748449999999998</v>
      </c>
      <c r="F36" s="3">
        <v>16.2559</v>
      </c>
      <c r="G36" s="3">
        <v>30.709800000000001</v>
      </c>
      <c r="H36" s="3">
        <v>99.721217669947364</v>
      </c>
      <c r="I36" s="3">
        <v>84.863050278477147</v>
      </c>
      <c r="J36" s="6">
        <v>3.7412440499845259E-5</v>
      </c>
    </row>
    <row r="37" spans="1:10">
      <c r="A37" s="5">
        <v>36</v>
      </c>
      <c r="B37" s="3">
        <v>728</v>
      </c>
      <c r="C37" s="3">
        <v>732.60073260073261</v>
      </c>
      <c r="D37" s="3">
        <v>4.6007326007326004</v>
      </c>
      <c r="E37" s="3">
        <v>35.440249999999999</v>
      </c>
      <c r="F37" s="3">
        <v>15.36585</v>
      </c>
      <c r="G37" s="3">
        <v>31.935549999999999</v>
      </c>
      <c r="H37" s="3">
        <v>99.721217669947364</v>
      </c>
      <c r="I37" s="3">
        <v>89.66582742046235</v>
      </c>
      <c r="J37" s="6">
        <v>1.7536618828311437E-2</v>
      </c>
    </row>
    <row r="38" spans="1:10">
      <c r="A38" s="5">
        <v>37</v>
      </c>
      <c r="B38" s="3">
        <v>586</v>
      </c>
      <c r="C38" s="3">
        <v>589.74358974358972</v>
      </c>
      <c r="D38" s="3">
        <v>3.7435897435897001</v>
      </c>
      <c r="E38" s="3">
        <v>43.626049999999999</v>
      </c>
      <c r="F38" s="3">
        <v>14.370749999999999</v>
      </c>
      <c r="G38" s="3">
        <v>41.190449999999998</v>
      </c>
      <c r="H38" s="3">
        <v>99.721217669947364</v>
      </c>
      <c r="I38" s="3">
        <v>69.638361181048296</v>
      </c>
      <c r="J38" s="6">
        <v>1.0618559774694396E-3</v>
      </c>
    </row>
    <row r="39" spans="1:10">
      <c r="A39" s="5">
        <v>38</v>
      </c>
      <c r="B39" s="3">
        <v>635</v>
      </c>
      <c r="C39" s="3">
        <v>639.80463980463981</v>
      </c>
      <c r="D39" s="3">
        <v>4.8046398046398</v>
      </c>
      <c r="E39" s="3">
        <v>32.3917</v>
      </c>
      <c r="F39" s="3">
        <v>16.663049999999998</v>
      </c>
      <c r="G39" s="3">
        <v>27.775749999999999</v>
      </c>
      <c r="H39" s="3">
        <v>99.718242160677505</v>
      </c>
      <c r="I39" s="3">
        <v>76.569771877622642</v>
      </c>
      <c r="J39" s="6">
        <v>5.6203022610909004E-4</v>
      </c>
    </row>
    <row r="40" spans="1:10">
      <c r="A40" s="5">
        <v>39</v>
      </c>
      <c r="B40" s="3">
        <v>646</v>
      </c>
      <c r="C40" s="3">
        <v>650.79365079365084</v>
      </c>
      <c r="D40" s="3">
        <v>4.7936507936507997</v>
      </c>
      <c r="E40" s="3">
        <v>32.391400000000004</v>
      </c>
      <c r="F40" s="3">
        <v>16.006700000000002</v>
      </c>
      <c r="G40" s="3">
        <v>28.15765</v>
      </c>
      <c r="H40" s="3">
        <v>99.721217669947364</v>
      </c>
      <c r="I40" s="3">
        <v>78.149080643930731</v>
      </c>
      <c r="J40" s="6">
        <v>1.174450272185526E-2</v>
      </c>
    </row>
    <row r="41" spans="1:10">
      <c r="A41" s="5">
        <v>40</v>
      </c>
      <c r="B41" s="3">
        <v>706</v>
      </c>
      <c r="C41" s="3">
        <v>710.62271062271066</v>
      </c>
      <c r="D41" s="3">
        <v>4.6227106227107004</v>
      </c>
      <c r="E41" s="3">
        <v>35.390100000000004</v>
      </c>
      <c r="F41" s="3">
        <v>15.8993</v>
      </c>
      <c r="G41" s="3">
        <v>31.616499999999998</v>
      </c>
      <c r="H41" s="3">
        <v>99.721217669947364</v>
      </c>
      <c r="I41" s="3">
        <v>86.675059128709847</v>
      </c>
      <c r="J41" s="6">
        <v>5.0593754249194317E-3</v>
      </c>
    </row>
    <row r="42" spans="1:10">
      <c r="A42" s="5">
        <v>41</v>
      </c>
      <c r="B42" s="3">
        <v>542</v>
      </c>
      <c r="C42" s="3">
        <v>545.78754578754581</v>
      </c>
      <c r="D42" s="3">
        <v>3.7875457875457998</v>
      </c>
      <c r="E42" s="3">
        <v>34.959999999999994</v>
      </c>
      <c r="F42" s="3">
        <v>17.516550000000002</v>
      </c>
      <c r="G42" s="3">
        <v>30.252300000000002</v>
      </c>
      <c r="H42" s="3">
        <v>99.721217669947364</v>
      </c>
      <c r="I42" s="3">
        <v>63.569085221637295</v>
      </c>
      <c r="J42" s="6">
        <v>7.2458359409539449E-3</v>
      </c>
    </row>
    <row r="43" spans="1:10">
      <c r="A43" s="5">
        <v>42</v>
      </c>
      <c r="B43" s="3">
        <v>541</v>
      </c>
      <c r="C43" s="3">
        <v>545.17704517704522</v>
      </c>
      <c r="D43" s="3">
        <v>4.1770451770452004</v>
      </c>
      <c r="E43" s="3">
        <v>30.471250000000001</v>
      </c>
      <c r="F43" s="3">
        <v>16.942050000000002</v>
      </c>
      <c r="G43" s="3">
        <v>25.326049999999999</v>
      </c>
      <c r="H43" s="3">
        <v>99.721217669947364</v>
      </c>
      <c r="I43" s="3">
        <v>63.44319829098955</v>
      </c>
      <c r="J43" s="6">
        <v>1.6394527437259079E-2</v>
      </c>
    </row>
    <row r="44" spans="1:10">
      <c r="A44" s="5">
        <v>43</v>
      </c>
      <c r="B44" s="3">
        <v>540</v>
      </c>
      <c r="C44" s="3">
        <v>543.95604395604391</v>
      </c>
      <c r="D44" s="3">
        <v>3.9560439560438998</v>
      </c>
      <c r="E44" s="3">
        <v>35.004599999999996</v>
      </c>
      <c r="F44" s="3">
        <v>16.975850000000001</v>
      </c>
      <c r="G44" s="3">
        <v>30.612649999999999</v>
      </c>
      <c r="H44" s="3">
        <v>99.721217669947364</v>
      </c>
      <c r="I44" s="3">
        <v>63.221942473487452</v>
      </c>
      <c r="J44" s="6">
        <v>2.4780051017752089E-2</v>
      </c>
    </row>
    <row r="45" spans="1:10">
      <c r="A45" s="5">
        <v>44</v>
      </c>
      <c r="B45" s="3">
        <v>567</v>
      </c>
      <c r="C45" s="3">
        <v>570.81807081807085</v>
      </c>
      <c r="D45" s="3">
        <v>3.8180708180709</v>
      </c>
      <c r="E45" s="3">
        <v>34.902649999999994</v>
      </c>
      <c r="F45" s="3">
        <v>14.15765</v>
      </c>
      <c r="G45" s="3">
        <v>31.902249999999999</v>
      </c>
      <c r="H45" s="3">
        <v>99.721217669947364</v>
      </c>
      <c r="I45" s="3">
        <v>66.899366750591284</v>
      </c>
      <c r="J45" s="6">
        <v>4.9578724135951053E-4</v>
      </c>
    </row>
    <row r="46" spans="1:10">
      <c r="A46" s="5">
        <v>45</v>
      </c>
      <c r="B46" s="3">
        <v>685</v>
      </c>
      <c r="C46" s="3">
        <v>689.86568986568989</v>
      </c>
      <c r="D46" s="3">
        <v>4.8656898656898999</v>
      </c>
      <c r="E46" s="3">
        <v>34.501549999999995</v>
      </c>
      <c r="F46" s="3">
        <v>16.0596</v>
      </c>
      <c r="G46" s="3">
        <v>30.53415</v>
      </c>
      <c r="H46" s="3">
        <v>99.721217669947364</v>
      </c>
      <c r="I46" s="3">
        <v>83.615625238422211</v>
      </c>
      <c r="J46" s="6">
        <v>3.7488747568023089E-3</v>
      </c>
    </row>
    <row r="47" spans="1:10">
      <c r="A47" s="5">
        <v>46</v>
      </c>
      <c r="B47" s="3">
        <v>716</v>
      </c>
      <c r="C47" s="3">
        <v>720.39072039072039</v>
      </c>
      <c r="D47" s="3">
        <v>4.3907203907204</v>
      </c>
      <c r="E47" s="3">
        <v>35.771249999999995</v>
      </c>
      <c r="F47" s="3">
        <v>15.763749999999998</v>
      </c>
      <c r="G47" s="3">
        <v>32.105850000000004</v>
      </c>
      <c r="H47" s="3">
        <v>99.724193179217195</v>
      </c>
      <c r="I47" s="3">
        <v>88.040741588464186</v>
      </c>
      <c r="J47" s="6">
        <v>8.9492557263161961E-3</v>
      </c>
    </row>
    <row r="48" spans="1:10">
      <c r="A48" s="5">
        <v>47</v>
      </c>
      <c r="B48" s="3">
        <v>616</v>
      </c>
      <c r="C48" s="3">
        <v>620.26862026862023</v>
      </c>
      <c r="D48" s="3">
        <v>4.2686202686202002</v>
      </c>
      <c r="E48" s="3">
        <v>31.418100000000003</v>
      </c>
      <c r="F48" s="3">
        <v>16.62405</v>
      </c>
      <c r="G48" s="3">
        <v>26.658850000000001</v>
      </c>
      <c r="H48" s="3">
        <v>99.721217669947364</v>
      </c>
      <c r="I48" s="3">
        <v>73.971923399710079</v>
      </c>
      <c r="J48" s="6">
        <v>4.087187265540497E-2</v>
      </c>
    </row>
    <row r="49" spans="1:10">
      <c r="A49" s="5">
        <v>48</v>
      </c>
      <c r="B49" s="3">
        <v>655</v>
      </c>
      <c r="C49" s="3">
        <v>659.34065934065939</v>
      </c>
      <c r="D49" s="3">
        <v>4.3406593406593998</v>
      </c>
      <c r="E49" s="3">
        <v>33.055</v>
      </c>
      <c r="F49" s="3">
        <v>16.222250000000003</v>
      </c>
      <c r="G49" s="3">
        <v>28.8</v>
      </c>
      <c r="H49" s="3">
        <v>99.721217669947364</v>
      </c>
      <c r="I49" s="3">
        <v>79.427023727779044</v>
      </c>
      <c r="J49" s="6">
        <v>7.4821297347850459E-3</v>
      </c>
    </row>
    <row r="50" spans="1:10">
      <c r="A50" s="5">
        <v>49</v>
      </c>
      <c r="B50" s="3">
        <v>576</v>
      </c>
      <c r="C50" s="3">
        <v>579.97557997557999</v>
      </c>
      <c r="D50" s="3">
        <v>3.9755799755800001</v>
      </c>
      <c r="E50" s="3">
        <v>94.415649999999999</v>
      </c>
      <c r="F50" s="3">
        <v>14.346399999999999</v>
      </c>
      <c r="G50" s="3">
        <v>93.319299999999998</v>
      </c>
      <c r="H50" s="3">
        <v>99.724193179217195</v>
      </c>
      <c r="I50" s="3">
        <v>68.35278858625162</v>
      </c>
      <c r="J50" s="6">
        <v>1.5529170162304423E-2</v>
      </c>
    </row>
    <row r="51" spans="1:10">
      <c r="A51" s="5">
        <v>50</v>
      </c>
      <c r="B51" s="3">
        <v>608</v>
      </c>
      <c r="C51" s="3">
        <v>611.72161172161168</v>
      </c>
      <c r="D51" s="3">
        <v>3.7216117216117</v>
      </c>
      <c r="E51" s="3">
        <v>32.116950000000003</v>
      </c>
      <c r="F51" s="3">
        <v>15.11675</v>
      </c>
      <c r="G51" s="3">
        <v>28.33475</v>
      </c>
      <c r="H51" s="3">
        <v>99.721217669947364</v>
      </c>
      <c r="I51" s="3">
        <v>72.735942626077673</v>
      </c>
      <c r="J51" s="6">
        <v>1.3147502757998284E-2</v>
      </c>
    </row>
    <row r="52" spans="1:10">
      <c r="A52" s="5">
        <v>51</v>
      </c>
      <c r="B52" s="3">
        <v>539</v>
      </c>
      <c r="C52" s="3">
        <v>542.73504273504273</v>
      </c>
      <c r="D52" s="3">
        <v>3.7350427350427</v>
      </c>
      <c r="E52" s="3">
        <v>34.716250000000002</v>
      </c>
      <c r="F52" s="3">
        <v>16.220600000000001</v>
      </c>
      <c r="G52" s="3">
        <v>30.6937</v>
      </c>
      <c r="H52" s="3">
        <v>99.721217669947364</v>
      </c>
      <c r="I52" s="3">
        <v>63.14564736400397</v>
      </c>
      <c r="J52" s="6">
        <v>2.3498314054981925E-2</v>
      </c>
    </row>
    <row r="53" spans="1:10">
      <c r="A53" s="5">
        <v>52</v>
      </c>
      <c r="B53" s="3">
        <v>538</v>
      </c>
      <c r="C53" s="3">
        <v>542.12454212454213</v>
      </c>
      <c r="D53" s="3">
        <v>4.1245421245421001</v>
      </c>
      <c r="E53" s="3">
        <v>30.721649999999997</v>
      </c>
      <c r="F53" s="3">
        <v>17.127299999999998</v>
      </c>
      <c r="G53" s="3">
        <v>25.50395</v>
      </c>
      <c r="H53" s="3">
        <v>99.721217669947364</v>
      </c>
      <c r="I53" s="3">
        <v>63.054093232623792</v>
      </c>
      <c r="J53" s="6">
        <v>4.871602440695671E-3</v>
      </c>
    </row>
    <row r="54" spans="1:10">
      <c r="A54" s="5">
        <v>53</v>
      </c>
      <c r="B54" s="3">
        <v>537</v>
      </c>
      <c r="C54" s="3">
        <v>540.90354090354094</v>
      </c>
      <c r="D54" s="3">
        <v>3.9035409035408999</v>
      </c>
      <c r="E54" s="3">
        <v>30.1754</v>
      </c>
      <c r="F54" s="3">
        <v>17.0794</v>
      </c>
      <c r="G54" s="3">
        <v>24.873149999999999</v>
      </c>
      <c r="H54" s="3">
        <v>99.721217669947364</v>
      </c>
      <c r="I54" s="3">
        <v>62.813763637750817</v>
      </c>
      <c r="J54" s="6">
        <v>6.4698235593339077E-3</v>
      </c>
    </row>
    <row r="55" spans="1:10">
      <c r="A55" s="5">
        <v>54</v>
      </c>
      <c r="B55" s="3">
        <v>746</v>
      </c>
      <c r="C55" s="3">
        <v>750.3052503052503</v>
      </c>
      <c r="D55" s="3">
        <v>4.3052503052502997</v>
      </c>
      <c r="E55" s="3">
        <v>36.67895</v>
      </c>
      <c r="F55" s="3">
        <v>16.051850000000002</v>
      </c>
      <c r="G55" s="3">
        <v>32.979999999999997</v>
      </c>
      <c r="H55" s="3">
        <v>99.721217669947364</v>
      </c>
      <c r="I55" s="3">
        <v>92.225528343633158</v>
      </c>
      <c r="J55" s="6">
        <v>3.3344347982818025E-3</v>
      </c>
    </row>
    <row r="56" spans="1:10">
      <c r="A56" s="5">
        <v>55</v>
      </c>
      <c r="B56" s="3">
        <v>595</v>
      </c>
      <c r="C56" s="3">
        <v>598.90109890109886</v>
      </c>
      <c r="D56" s="3">
        <v>3.9010989010989001</v>
      </c>
      <c r="E56" s="3">
        <v>36.105999999999995</v>
      </c>
      <c r="F56" s="3">
        <v>14.961499999999999</v>
      </c>
      <c r="G56" s="3">
        <v>32.859949999999998</v>
      </c>
      <c r="H56" s="3">
        <v>99.721217669947364</v>
      </c>
      <c r="I56" s="3">
        <v>71.026932173647666</v>
      </c>
      <c r="J56" s="6">
        <v>9.9198949003278993E-3</v>
      </c>
    </row>
    <row r="57" spans="1:10">
      <c r="A57" s="5">
        <v>56</v>
      </c>
      <c r="B57" s="3">
        <v>677</v>
      </c>
      <c r="C57" s="3">
        <v>681.31868131868134</v>
      </c>
      <c r="D57" s="3">
        <v>4.3186813186812998</v>
      </c>
      <c r="E57" s="3">
        <v>33.638300000000001</v>
      </c>
      <c r="F57" s="3">
        <v>15.9032</v>
      </c>
      <c r="G57" s="3">
        <v>29.6404</v>
      </c>
      <c r="H57" s="3">
        <v>99.721217669947364</v>
      </c>
      <c r="I57" s="3">
        <v>82.642862592507825</v>
      </c>
      <c r="J57" s="6">
        <v>4.281751117267904E-4</v>
      </c>
    </row>
    <row r="58" spans="1:10">
      <c r="A58" s="5">
        <v>57</v>
      </c>
      <c r="B58" s="3">
        <v>643</v>
      </c>
      <c r="C58" s="3">
        <v>647.74114774114776</v>
      </c>
      <c r="D58" s="3">
        <v>4.7411477411477998</v>
      </c>
      <c r="E58" s="3">
        <v>31.869499999999999</v>
      </c>
      <c r="F58" s="3">
        <v>16.330750000000002</v>
      </c>
      <c r="G58" s="3">
        <v>27.3673</v>
      </c>
      <c r="H58" s="3">
        <v>99.721217669947364</v>
      </c>
      <c r="I58" s="3">
        <v>77.977416647592889</v>
      </c>
      <c r="J58" s="6">
        <v>3.753560223578973E-3</v>
      </c>
    </row>
    <row r="59" spans="1:10">
      <c r="A59" s="5">
        <v>58</v>
      </c>
      <c r="B59" s="3">
        <v>663</v>
      </c>
      <c r="C59" s="3">
        <v>667.27716727716722</v>
      </c>
      <c r="D59" s="3">
        <v>4.2771672771671998</v>
      </c>
      <c r="E59" s="3">
        <v>33.377750000000006</v>
      </c>
      <c r="F59" s="3">
        <v>16.3507</v>
      </c>
      <c r="G59" s="3">
        <v>29.098649999999999</v>
      </c>
      <c r="H59" s="3">
        <v>99.718242160677505</v>
      </c>
      <c r="I59" s="3">
        <v>80.773632410162506</v>
      </c>
      <c r="J59" s="6">
        <v>7.756670917446625E-3</v>
      </c>
    </row>
    <row r="60" spans="1:10">
      <c r="A60" s="5">
        <v>59</v>
      </c>
      <c r="B60" s="3">
        <v>719</v>
      </c>
      <c r="C60" s="3">
        <v>723.44322344322347</v>
      </c>
      <c r="D60" s="3">
        <v>4.4432234432235003</v>
      </c>
      <c r="E60" s="3">
        <v>36.470100000000002</v>
      </c>
      <c r="F60" s="3">
        <v>15.65225</v>
      </c>
      <c r="G60" s="3">
        <v>32.936250000000001</v>
      </c>
      <c r="H60" s="3">
        <v>99.724193179217195</v>
      </c>
      <c r="I60" s="3">
        <v>88.860914015411609</v>
      </c>
      <c r="J60" s="6">
        <v>1.8083572889027764E-2</v>
      </c>
    </row>
    <row r="61" spans="1:10">
      <c r="A61" s="10">
        <v>60</v>
      </c>
      <c r="B61" s="11">
        <v>564</v>
      </c>
      <c r="C61" s="11">
        <v>567.76556776556777</v>
      </c>
      <c r="D61" s="11">
        <v>3.7655677655678002</v>
      </c>
      <c r="E61" s="11">
        <v>35.487650000000002</v>
      </c>
      <c r="F61" s="11">
        <v>15.535600000000001</v>
      </c>
      <c r="G61" s="11">
        <v>31.90325</v>
      </c>
      <c r="H61" s="11">
        <v>99.721217669947364</v>
      </c>
      <c r="I61" s="11">
        <v>67.204547188525211</v>
      </c>
      <c r="J61" s="12">
        <v>8.0264133220921078E-3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E185-BA4A-48DB-9B90-6517ED5C8387}">
  <dimension ref="A1:P8"/>
  <sheetViews>
    <sheetView workbookViewId="0"/>
  </sheetViews>
  <sheetFormatPr defaultRowHeight="13.9"/>
  <cols>
    <col min="1" max="2" width="15.59765625" customWidth="1"/>
    <col min="4" max="4" width="13.59765625" customWidth="1"/>
    <col min="5" max="5" width="55.59765625" customWidth="1"/>
  </cols>
  <sheetData>
    <row r="1" spans="1:16" ht="25.5">
      <c r="A1" s="19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3" spans="1:16">
      <c r="A3" s="2" t="s">
        <v>32</v>
      </c>
      <c r="B3" s="2" t="s">
        <v>33</v>
      </c>
      <c r="D3" s="2" t="s">
        <v>34</v>
      </c>
      <c r="E3" s="2"/>
    </row>
    <row r="4" spans="1:16">
      <c r="A4" s="1" t="s">
        <v>35</v>
      </c>
      <c r="B4" s="1">
        <f>COUNTA(有效原始数据!A2:A61)</f>
        <v>60</v>
      </c>
      <c r="D4" s="1" t="s">
        <v>40</v>
      </c>
      <c r="E4" s="21" t="s">
        <v>41</v>
      </c>
    </row>
    <row r="5" spans="1:16">
      <c r="A5" s="1" t="s">
        <v>36</v>
      </c>
      <c r="B5" s="3">
        <f>INDEX(有效原始数据!B2:B61,MATCH(MIN(有效原始数据!E2:E61),有效原始数据!E2:E61,0))</f>
        <v>543</v>
      </c>
      <c r="D5" s="1" t="s">
        <v>42</v>
      </c>
      <c r="E5" s="21" t="s">
        <v>43</v>
      </c>
    </row>
    <row r="6" spans="1:16">
      <c r="A6" s="1" t="s">
        <v>37</v>
      </c>
      <c r="B6" s="3">
        <f>MIN(有效原始数据!E2:E61)</f>
        <v>30.139399999999998</v>
      </c>
    </row>
    <row r="7" spans="1:16">
      <c r="A7" s="1" t="s">
        <v>38</v>
      </c>
      <c r="B7" s="3">
        <f>CORREL(有效原始数据!B2:B61,有效原始数据!E2:E61)</f>
        <v>-3.2950817994852472E-2</v>
      </c>
    </row>
    <row r="8" spans="1:16">
      <c r="A8" s="1" t="s">
        <v>39</v>
      </c>
      <c r="B8" s="3">
        <f>RSQ(有效原始数据!E2:E61,有效原始数据!B2:B61)</f>
        <v>1.085756406529894E-3</v>
      </c>
    </row>
  </sheetData>
  <mergeCells count="1">
    <mergeCell ref="A1:P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弃用候选</vt:lpstr>
      <vt:lpstr>Uc分段统计</vt:lpstr>
      <vt:lpstr>Score排序</vt:lpstr>
      <vt:lpstr>有效原始数据</vt:lpstr>
      <vt:lpstr>Uc-score关系图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 凌</dc:creator>
  <cp:lastModifiedBy>瑞 凌</cp:lastModifiedBy>
  <dcterms:created xsi:type="dcterms:W3CDTF">2026-07-30T06:07:34Z</dcterms:created>
  <dcterms:modified xsi:type="dcterms:W3CDTF">2026-07-30T06:07:39Z</dcterms:modified>
</cp:coreProperties>
</file>