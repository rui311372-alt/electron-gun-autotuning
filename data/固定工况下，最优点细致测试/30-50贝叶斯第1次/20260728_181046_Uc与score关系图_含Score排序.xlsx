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实验数据\10， Ua100，Ia80 最终成果\30-50贝叶斯第1次\文字报告\"/>
    </mc:Choice>
  </mc:AlternateContent>
  <xr:revisionPtr revIDLastSave="0" documentId="8_{2A95BD64-C5C9-49C3-B0B2-1A68CC52C3CD}" xr6:coauthVersionLast="47" xr6:coauthVersionMax="47" xr10:uidLastSave="{00000000-0000-0000-0000-000000000000}"/>
  <bookViews>
    <workbookView xWindow="-98" yWindow="-98" windowWidth="23596" windowHeight="15076" xr2:uid="{1F7078CE-2231-4677-81CE-84C612992122}"/>
  </bookViews>
  <sheets>
    <sheet name="弃用候选" sheetId="5" r:id="rId1"/>
    <sheet name="Uc分段统计" sheetId="4" r:id="rId2"/>
    <sheet name="Score排序" sheetId="3" r:id="rId3"/>
    <sheet name="有效原始数据" sheetId="2" r:id="rId4"/>
    <sheet name="Uc-score关系图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<sst xmlns="http://schemas.openxmlformats.org/spreadsheetml/2006/main" count="81" uniqueCount="44">
  <si>
    <t>迭代</t>
  </si>
  <si>
    <t>Uc设定(V)</t>
  </si>
  <si>
    <t>Uc反馈(V)</t>
  </si>
  <si>
    <t>Uc反馈差(V)</t>
  </si>
  <si>
    <t>score</t>
  </si>
  <si>
    <t>x1</t>
  </si>
  <si>
    <t>x2</t>
  </si>
  <si>
    <t>Ua反馈(kV)</t>
  </si>
  <si>
    <t>Ug反馈(V)</t>
  </si>
  <si>
    <t>三拍相对差</t>
  </si>
  <si>
    <t>排名</t>
  </si>
  <si>
    <t>接受拍次</t>
  </si>
  <si>
    <t>第1拍score</t>
  </si>
  <si>
    <t>第2拍score</t>
  </si>
  <si>
    <t>第3拍score</t>
  </si>
  <si>
    <t>1, 3</t>
  </si>
  <si>
    <t>2, 3</t>
  </si>
  <si>
    <t>1, 2</t>
  </si>
  <si>
    <t>Uc区间(V)</t>
  </si>
  <si>
    <t>候选数</t>
  </si>
  <si>
    <t>平均score</t>
  </si>
  <si>
    <t>中位数score</t>
  </si>
  <si>
    <t>最低score</t>
  </si>
  <si>
    <t>最高score</t>
  </si>
  <si>
    <t>500–550</t>
  </si>
  <si>
    <t>550–600</t>
  </si>
  <si>
    <t>600–650</t>
  </si>
  <si>
    <t>650–675</t>
  </si>
  <si>
    <t>675–700</t>
  </si>
  <si>
    <t>700–750</t>
  </si>
  <si>
    <t>本报告目录未提供失败记录文件</t>
  </si>
  <si>
    <t>Uc 与 score 关系图（运行 20260728_181046）</t>
  </si>
  <si>
    <t>指标</t>
  </si>
  <si>
    <t>数值</t>
  </si>
  <si>
    <t>结论</t>
  </si>
  <si>
    <t>有效候选数</t>
  </si>
  <si>
    <t>最佳 Uc设定(V)</t>
  </si>
  <si>
    <t>最低 score</t>
  </si>
  <si>
    <t>Pearson r</t>
  </si>
  <si>
    <t>线性模型 R²</t>
  </si>
  <si>
    <t>最佳点</t>
  </si>
  <si>
    <t>最低 score=29.4001，出现在 Uc=542 V（迭代 9）。</t>
  </si>
  <si>
    <t>说明</t>
  </si>
  <si>
    <t>完整数据、Score 排序及 Uc 分段统计见对应工作表。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</si>
</sst>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Microsoft YaHei"/>
      <family val="2"/>
      <charset val="134"/>
    </font>
    <font>
      <b/>
      <sz val="9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10">
    <border>
      <left/>
      <right/>
      <top/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 style="thin">
        <color rgb="FFD4DEE6"/>
      </bottom>
      <diagonal/>
    </border>
    <border>
      <left style="thin">
        <color rgb="FFD4DEE6"/>
      </left>
      <right/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/>
      <top/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/>
      <top style="thin">
        <color rgb="FFD4DEE6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0" fontId="2" fillId="0" borderId="2" xfId="0" applyFont="1" applyFill="1" applyBorder="1">
      <alignment vertical="center"/>
    </xf>
    <xf numFmtId="177" fontId="2" fillId="0" borderId="3" xfId="0" applyNumberFormat="1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177" fontId="2" fillId="0" borderId="9" xfId="0" applyNumberFormat="1" applyFont="1" applyFill="1" applyBorder="1">
      <alignment vertical="center"/>
    </xf>
    <xf numFmtId="176" fontId="2" fillId="0" borderId="3" xfId="0" applyNumberFormat="1" applyFont="1" applyFill="1" applyBorder="1">
      <alignment vertical="center"/>
    </xf>
    <xf numFmtId="0" fontId="2" fillId="0" borderId="8" xfId="0" applyFont="1" applyFill="1" applyBorder="1">
      <alignment vertical="center"/>
    </xf>
    <xf numFmtId="177" fontId="2" fillId="0" borderId="8" xfId="0" applyNumberFormat="1" applyFont="1" applyFill="1" applyBorder="1">
      <alignment vertical="center"/>
    </xf>
    <xf numFmtId="176" fontId="2" fillId="0" borderId="9" xfId="0" applyNumberFormat="1" applyFont="1" applyFill="1" applyBorder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设定值与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有效原始数据!$B$2:$B$31</c:f>
              <c:numCache>
                <c:formatCode>0.0000</c:formatCode>
                <c:ptCount val="30"/>
                <c:pt idx="0">
                  <c:v>735</c:v>
                </c:pt>
                <c:pt idx="1">
                  <c:v>638</c:v>
                </c:pt>
                <c:pt idx="2">
                  <c:v>557</c:v>
                </c:pt>
                <c:pt idx="3">
                  <c:v>504</c:v>
                </c:pt>
                <c:pt idx="4">
                  <c:v>586</c:v>
                </c:pt>
                <c:pt idx="5">
                  <c:v>625</c:v>
                </c:pt>
                <c:pt idx="6">
                  <c:v>668</c:v>
                </c:pt>
                <c:pt idx="7">
                  <c:v>656</c:v>
                </c:pt>
                <c:pt idx="8">
                  <c:v>542</c:v>
                </c:pt>
                <c:pt idx="9">
                  <c:v>706</c:v>
                </c:pt>
                <c:pt idx="10">
                  <c:v>693</c:v>
                </c:pt>
                <c:pt idx="11">
                  <c:v>527</c:v>
                </c:pt>
                <c:pt idx="12">
                  <c:v>721</c:v>
                </c:pt>
                <c:pt idx="13">
                  <c:v>569</c:v>
                </c:pt>
                <c:pt idx="14">
                  <c:v>601</c:v>
                </c:pt>
                <c:pt idx="15">
                  <c:v>750</c:v>
                </c:pt>
                <c:pt idx="16">
                  <c:v>613</c:v>
                </c:pt>
                <c:pt idx="17">
                  <c:v>680</c:v>
                </c:pt>
                <c:pt idx="18">
                  <c:v>516</c:v>
                </c:pt>
                <c:pt idx="19">
                  <c:v>577</c:v>
                </c:pt>
                <c:pt idx="20">
                  <c:v>541</c:v>
                </c:pt>
                <c:pt idx="21">
                  <c:v>543</c:v>
                </c:pt>
                <c:pt idx="22">
                  <c:v>540</c:v>
                </c:pt>
                <c:pt idx="23">
                  <c:v>647</c:v>
                </c:pt>
                <c:pt idx="24">
                  <c:v>594</c:v>
                </c:pt>
                <c:pt idx="25">
                  <c:v>713</c:v>
                </c:pt>
                <c:pt idx="26">
                  <c:v>674</c:v>
                </c:pt>
                <c:pt idx="27">
                  <c:v>728</c:v>
                </c:pt>
                <c:pt idx="28">
                  <c:v>631</c:v>
                </c:pt>
                <c:pt idx="29">
                  <c:v>662</c:v>
                </c:pt>
              </c:numCache>
            </c:numRef>
          </c:xVal>
          <c:yVal>
            <c:numRef>
              <c:f>有效原始数据!$E$2:$E$31</c:f>
              <c:numCache>
                <c:formatCode>0.0000</c:formatCode>
                <c:ptCount val="30"/>
                <c:pt idx="0">
                  <c:v>35.1173</c:v>
                </c:pt>
                <c:pt idx="1">
                  <c:v>31.92465</c:v>
                </c:pt>
                <c:pt idx="2">
                  <c:v>33.911550000000005</c:v>
                </c:pt>
                <c:pt idx="3">
                  <c:v>35.224149999999995</c:v>
                </c:pt>
                <c:pt idx="4">
                  <c:v>34.703800000000001</c:v>
                </c:pt>
                <c:pt idx="5">
                  <c:v>35.762999999999998</c:v>
                </c:pt>
                <c:pt idx="6">
                  <c:v>33.983999999999995</c:v>
                </c:pt>
                <c:pt idx="7">
                  <c:v>32.666449999999998</c:v>
                </c:pt>
                <c:pt idx="8">
                  <c:v>29.40005</c:v>
                </c:pt>
                <c:pt idx="9">
                  <c:v>34.44605</c:v>
                </c:pt>
                <c:pt idx="10">
                  <c:v>34.236499999999999</c:v>
                </c:pt>
                <c:pt idx="11">
                  <c:v>33.800700000000006</c:v>
                </c:pt>
                <c:pt idx="12">
                  <c:v>35.761200000000002</c:v>
                </c:pt>
                <c:pt idx="13">
                  <c:v>34.106549999999999</c:v>
                </c:pt>
                <c:pt idx="14">
                  <c:v>33.890500000000003</c:v>
                </c:pt>
                <c:pt idx="15">
                  <c:v>35.375950000000003</c:v>
                </c:pt>
                <c:pt idx="16">
                  <c:v>34.651049999999998</c:v>
                </c:pt>
                <c:pt idx="17">
                  <c:v>33.484250000000003</c:v>
                </c:pt>
                <c:pt idx="18">
                  <c:v>33.157350000000001</c:v>
                </c:pt>
                <c:pt idx="19">
                  <c:v>43.492849999999997</c:v>
                </c:pt>
                <c:pt idx="20">
                  <c:v>32.844700000000003</c:v>
                </c:pt>
                <c:pt idx="21">
                  <c:v>29.476799999999997</c:v>
                </c:pt>
                <c:pt idx="22">
                  <c:v>33.241050000000001</c:v>
                </c:pt>
                <c:pt idx="23">
                  <c:v>31.991199999999999</c:v>
                </c:pt>
                <c:pt idx="24">
                  <c:v>35.70825</c:v>
                </c:pt>
                <c:pt idx="25">
                  <c:v>34.984000000000002</c:v>
                </c:pt>
                <c:pt idx="26">
                  <c:v>33.1873</c:v>
                </c:pt>
                <c:pt idx="27">
                  <c:v>35.856250000000003</c:v>
                </c:pt>
                <c:pt idx="28">
                  <c:v>31.40455</c:v>
                </c:pt>
                <c:pt idx="29">
                  <c:v>32.806899999999999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E6-4C45-9EED-DAE8F4397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694528"/>
        <c:axId val="1807254448"/>
      </c:scatterChart>
      <c:valAx>
        <c:axId val="1936694528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设定值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807254448"/>
        <c:crosses val="autoZero"/>
        <c:crossBetween val="midCat"/>
        <c:majorUnit val="25"/>
      </c:valAx>
      <c:valAx>
        <c:axId val="1807254448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36694528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反馈值与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有效原始数据!$C$2:$C$31</c:f>
              <c:numCache>
                <c:formatCode>0.0000</c:formatCode>
                <c:ptCount val="30"/>
                <c:pt idx="0">
                  <c:v>739.31623931623926</c:v>
                </c:pt>
                <c:pt idx="1">
                  <c:v>642.85714285714289</c:v>
                </c:pt>
                <c:pt idx="2">
                  <c:v>561.050061050061</c:v>
                </c:pt>
                <c:pt idx="3">
                  <c:v>507.93650793650789</c:v>
                </c:pt>
                <c:pt idx="4">
                  <c:v>589.74358974358972</c:v>
                </c:pt>
                <c:pt idx="5">
                  <c:v>629.42612942612948</c:v>
                </c:pt>
                <c:pt idx="6">
                  <c:v>672.7716727716728</c:v>
                </c:pt>
                <c:pt idx="7">
                  <c:v>660.56166056166057</c:v>
                </c:pt>
                <c:pt idx="8">
                  <c:v>545.78754578754581</c:v>
                </c:pt>
                <c:pt idx="9">
                  <c:v>710.62271062271066</c:v>
                </c:pt>
                <c:pt idx="10">
                  <c:v>697.80219780219784</c:v>
                </c:pt>
                <c:pt idx="11">
                  <c:v>531.1355311355311</c:v>
                </c:pt>
                <c:pt idx="12">
                  <c:v>725.27472527472526</c:v>
                </c:pt>
                <c:pt idx="13">
                  <c:v>573.26007326007323</c:v>
                </c:pt>
                <c:pt idx="14">
                  <c:v>605.00610500610503</c:v>
                </c:pt>
                <c:pt idx="15">
                  <c:v>754.57875457875457</c:v>
                </c:pt>
                <c:pt idx="16">
                  <c:v>617.21611721611725</c:v>
                </c:pt>
                <c:pt idx="17">
                  <c:v>684.37118437118443</c:v>
                </c:pt>
                <c:pt idx="18">
                  <c:v>520.14652014652017</c:v>
                </c:pt>
                <c:pt idx="19">
                  <c:v>581.19658119658118</c:v>
                </c:pt>
                <c:pt idx="20">
                  <c:v>545.17704517704522</c:v>
                </c:pt>
                <c:pt idx="21">
                  <c:v>547.008547008547</c:v>
                </c:pt>
                <c:pt idx="22">
                  <c:v>543.95604395604391</c:v>
                </c:pt>
                <c:pt idx="23">
                  <c:v>651.40415140415143</c:v>
                </c:pt>
                <c:pt idx="24">
                  <c:v>597.68009768009767</c:v>
                </c:pt>
                <c:pt idx="25">
                  <c:v>717.33821733821731</c:v>
                </c:pt>
                <c:pt idx="26">
                  <c:v>678.87667887667885</c:v>
                </c:pt>
                <c:pt idx="27">
                  <c:v>732.60073260073261</c:v>
                </c:pt>
                <c:pt idx="28">
                  <c:v>635.53113553113553</c:v>
                </c:pt>
                <c:pt idx="29">
                  <c:v>666.66666666666663</c:v>
                </c:pt>
              </c:numCache>
            </c:numRef>
          </c:xVal>
          <c:yVal>
            <c:numRef>
              <c:f>有效原始数据!$E$2:$E$31</c:f>
              <c:numCache>
                <c:formatCode>0.0000</c:formatCode>
                <c:ptCount val="30"/>
                <c:pt idx="0">
                  <c:v>35.1173</c:v>
                </c:pt>
                <c:pt idx="1">
                  <c:v>31.92465</c:v>
                </c:pt>
                <c:pt idx="2">
                  <c:v>33.911550000000005</c:v>
                </c:pt>
                <c:pt idx="3">
                  <c:v>35.224149999999995</c:v>
                </c:pt>
                <c:pt idx="4">
                  <c:v>34.703800000000001</c:v>
                </c:pt>
                <c:pt idx="5">
                  <c:v>35.762999999999998</c:v>
                </c:pt>
                <c:pt idx="6">
                  <c:v>33.983999999999995</c:v>
                </c:pt>
                <c:pt idx="7">
                  <c:v>32.666449999999998</c:v>
                </c:pt>
                <c:pt idx="8">
                  <c:v>29.40005</c:v>
                </c:pt>
                <c:pt idx="9">
                  <c:v>34.44605</c:v>
                </c:pt>
                <c:pt idx="10">
                  <c:v>34.236499999999999</c:v>
                </c:pt>
                <c:pt idx="11">
                  <c:v>33.800700000000006</c:v>
                </c:pt>
                <c:pt idx="12">
                  <c:v>35.761200000000002</c:v>
                </c:pt>
                <c:pt idx="13">
                  <c:v>34.106549999999999</c:v>
                </c:pt>
                <c:pt idx="14">
                  <c:v>33.890500000000003</c:v>
                </c:pt>
                <c:pt idx="15">
                  <c:v>35.375950000000003</c:v>
                </c:pt>
                <c:pt idx="16">
                  <c:v>34.651049999999998</c:v>
                </c:pt>
                <c:pt idx="17">
                  <c:v>33.484250000000003</c:v>
                </c:pt>
                <c:pt idx="18">
                  <c:v>33.157350000000001</c:v>
                </c:pt>
                <c:pt idx="19">
                  <c:v>43.492849999999997</c:v>
                </c:pt>
                <c:pt idx="20">
                  <c:v>32.844700000000003</c:v>
                </c:pt>
                <c:pt idx="21">
                  <c:v>29.476799999999997</c:v>
                </c:pt>
                <c:pt idx="22">
                  <c:v>33.241050000000001</c:v>
                </c:pt>
                <c:pt idx="23">
                  <c:v>31.991199999999999</c:v>
                </c:pt>
                <c:pt idx="24">
                  <c:v>35.70825</c:v>
                </c:pt>
                <c:pt idx="25">
                  <c:v>34.984000000000002</c:v>
                </c:pt>
                <c:pt idx="26">
                  <c:v>33.1873</c:v>
                </c:pt>
                <c:pt idx="27">
                  <c:v>35.856250000000003</c:v>
                </c:pt>
                <c:pt idx="28">
                  <c:v>31.40455</c:v>
                </c:pt>
                <c:pt idx="29">
                  <c:v>32.806899999999999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C-4D75-B778-302729A97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850960"/>
        <c:axId val="1807254928"/>
      </c:scatterChart>
      <c:valAx>
        <c:axId val="1982850960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反馈值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807254928"/>
        <c:crosses val="autoZero"/>
        <c:crossBetween val="midCat"/>
        <c:majorUnit val="25"/>
      </c:valAx>
      <c:valAx>
        <c:axId val="1807254928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82850960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3175</xdr:rowOff>
    </xdr:from>
    <xdr:to>
      <xdr:col>10</xdr:col>
      <xdr:colOff>117475</xdr:colOff>
      <xdr:row>37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445500-95FF-F556-5F4D-214DD743B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15</xdr:row>
      <xdr:rowOff>3175</xdr:rowOff>
    </xdr:from>
    <xdr:to>
      <xdr:col>21</xdr:col>
      <xdr:colOff>168275</xdr:colOff>
      <xdr:row>37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B5C8DA1-FEF9-EDC7-A39F-9E9A598C7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DDD2D-AB7B-4B80-83BC-01E54A4BCEF0}" name="Score排序表" displayName="Score排序表" ref="A1:O31" totalsRowShown="0" headerRowDxfId="0" dataDxfId="1" headerRowBorderDxfId="18" tableBorderDxfId="19" totalsRowBorderDxfId="17">
  <autoFilter ref="A1:O31" xr:uid="{B91DDD2D-AB7B-4B80-83BC-01E54A4BCEF0}"/>
  <tableColumns count="15">
    <tableColumn id="1" xr3:uid="{FB92BDB9-F986-4565-A051-F8081899B6FC}" name="排名" dataDxfId="16"/>
    <tableColumn id="2" xr3:uid="{B97BC106-444E-4D0B-9D34-905A2C49A28E}" name="迭代" dataDxfId="15"/>
    <tableColumn id="3" xr3:uid="{01534294-9827-4FCE-988B-F66658D6858F}" name="score" dataDxfId="14"/>
    <tableColumn id="4" xr3:uid="{B2012753-DE1E-4355-87F3-44ECEE34DF93}" name="x1" dataDxfId="13"/>
    <tableColumn id="5" xr3:uid="{7F9A415F-B78D-4B14-BB94-23BE063E4ED9}" name="x2" dataDxfId="12"/>
    <tableColumn id="6" xr3:uid="{BE5D33CE-4358-4191-BDC8-D4E964C3F7D3}" name="Uc设定(V)" dataDxfId="11"/>
    <tableColumn id="7" xr3:uid="{9220DAE6-8FB1-48FE-B211-972A022EDFD2}" name="Uc反馈(V)" dataDxfId="10"/>
    <tableColumn id="8" xr3:uid="{FF69480F-2884-4C37-956E-F6249B4C8AA0}" name="Uc反馈差(V)" dataDxfId="9"/>
    <tableColumn id="9" xr3:uid="{153B4C73-2DBE-4A2D-BEC7-5A5148B68FE3}" name="Ua反馈(kV)" dataDxfId="8"/>
    <tableColumn id="10" xr3:uid="{A4C9CB8D-1B8C-4F7F-A15D-5E6B9D04CC0A}" name="Ug反馈(V)" dataDxfId="7"/>
    <tableColumn id="11" xr3:uid="{A368A540-2424-4B83-BA1A-61B5F0E4CD98}" name="三拍相对差" dataDxfId="6"/>
    <tableColumn id="12" xr3:uid="{F393D796-C4A6-44EC-BF8C-E3D0FC95F8A0}" name="接受拍次" dataDxfId="5"/>
    <tableColumn id="13" xr3:uid="{357A1775-983B-440C-8231-1E269267D8D0}" name="第1拍score" dataDxfId="4"/>
    <tableColumn id="14" xr3:uid="{B0BB5C23-334B-4665-B3C0-5DC58E72B842}" name="第2拍score" dataDxfId="3"/>
    <tableColumn id="15" xr3:uid="{A93C3604-1D1C-495F-A088-574A5EF6612B}" name="第3拍sco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70F91-C2DC-450F-B004-F69C6FF815B5}" name="有效原始数据表" displayName="有效原始数据表" ref="A1:J31" totalsRowShown="0" headerRowDxfId="20" dataDxfId="21" headerRowBorderDxfId="33" tableBorderDxfId="34" totalsRowBorderDxfId="32">
  <autoFilter ref="A1:J31" xr:uid="{E2A70F91-C2DC-450F-B004-F69C6FF815B5}"/>
  <tableColumns count="10">
    <tableColumn id="1" xr3:uid="{678C7613-5EFB-4A6B-8E0C-E566095CE411}" name="迭代" dataDxfId="31"/>
    <tableColumn id="2" xr3:uid="{39053278-B422-4DE3-B5B3-05C5FD903978}" name="Uc设定(V)" dataDxfId="30"/>
    <tableColumn id="3" xr3:uid="{891FBCA1-6FEA-461B-BA2D-F2F920814014}" name="Uc反馈(V)" dataDxfId="29"/>
    <tableColumn id="4" xr3:uid="{EC0E2A58-0E3A-4753-B8F8-EC825DA9769D}" name="Uc反馈差(V)" dataDxfId="28"/>
    <tableColumn id="5" xr3:uid="{0CB102C0-E86E-4D05-AB9C-E6426CAE10FC}" name="score" dataDxfId="27"/>
    <tableColumn id="6" xr3:uid="{C8F6708E-E9CB-4165-9E36-B34ADA867B34}" name="x1" dataDxfId="26"/>
    <tableColumn id="7" xr3:uid="{A21AF051-B991-4FD2-A989-E68707029DCA}" name="x2" dataDxfId="25"/>
    <tableColumn id="8" xr3:uid="{9FC36667-7A8A-43CF-A83E-3FF3D6FABC9A}" name="Ua反馈(kV)" dataDxfId="24"/>
    <tableColumn id="9" xr3:uid="{28E7F1F1-731A-420D-80A7-897775DACEA4}" name="Ug反馈(V)" dataDxfId="23"/>
    <tableColumn id="10" xr3:uid="{28A5FDAB-3549-4FEC-AD15-AD2DE99720D2}" name="三拍相对差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E576-5825-4897-B7BA-25BBC2B69788}">
  <dimension ref="A1:E1"/>
  <sheetViews>
    <sheetView tabSelected="1" workbookViewId="0"/>
  </sheetViews>
  <sheetFormatPr defaultRowHeight="13.9"/>
  <sheetData>
    <row r="1" spans="1:5" ht="15.75">
      <c r="A1" s="18" t="s">
        <v>30</v>
      </c>
      <c r="B1" s="17"/>
      <c r="C1" s="17"/>
      <c r="D1" s="17"/>
      <c r="E1" s="1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7852-2443-49DA-BDE9-B205E4E7419F}">
  <dimension ref="A1:F7"/>
  <sheetViews>
    <sheetView workbookViewId="0"/>
  </sheetViews>
  <sheetFormatPr defaultRowHeight="13.9"/>
  <cols>
    <col min="1" max="1" width="8.6640625" bestFit="1" customWidth="1"/>
    <col min="2" max="2" width="6.1328125" bestFit="1" customWidth="1"/>
    <col min="3" max="3" width="8.53125" bestFit="1" customWidth="1"/>
    <col min="4" max="4" width="10.1328125" bestFit="1" customWidth="1"/>
    <col min="5" max="6" width="8.53125" bestFit="1" customWidth="1"/>
  </cols>
  <sheetData>
    <row r="1" spans="1:6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 s="1" t="s">
        <v>24</v>
      </c>
      <c r="B2" s="3">
        <v>7</v>
      </c>
      <c r="C2" s="3">
        <v>32.449257142857149</v>
      </c>
      <c r="D2" s="3">
        <v>33.157350000000001</v>
      </c>
      <c r="E2" s="3">
        <v>29.40005</v>
      </c>
      <c r="F2" s="3">
        <v>35.224149999999995</v>
      </c>
    </row>
    <row r="3" spans="1:6">
      <c r="A3" s="1" t="s">
        <v>25</v>
      </c>
      <c r="B3" s="3">
        <v>5</v>
      </c>
      <c r="C3" s="3">
        <v>36.384599999999999</v>
      </c>
      <c r="D3" s="3">
        <v>34.703800000000001</v>
      </c>
      <c r="E3" s="3">
        <v>33.911550000000005</v>
      </c>
      <c r="F3" s="3">
        <v>43.492849999999997</v>
      </c>
    </row>
    <row r="4" spans="1:6">
      <c r="A4" s="1" t="s">
        <v>26</v>
      </c>
      <c r="B4" s="3">
        <v>6</v>
      </c>
      <c r="C4" s="3">
        <v>33.270825000000002</v>
      </c>
      <c r="D4" s="3">
        <v>31.991199999999999</v>
      </c>
      <c r="E4" s="3">
        <v>31.40455</v>
      </c>
      <c r="F4" s="3">
        <v>35.762999999999998</v>
      </c>
    </row>
    <row r="5" spans="1:6">
      <c r="A5" s="1" t="s">
        <v>27</v>
      </c>
      <c r="B5" s="3">
        <v>4</v>
      </c>
      <c r="C5" s="3">
        <v>33.161162500000003</v>
      </c>
      <c r="D5" s="3">
        <v>32.806899999999999</v>
      </c>
      <c r="E5" s="3">
        <v>32.666449999999998</v>
      </c>
      <c r="F5" s="3">
        <v>33.983999999999995</v>
      </c>
    </row>
    <row r="6" spans="1:6">
      <c r="A6" s="1" t="s">
        <v>28</v>
      </c>
      <c r="B6" s="3">
        <v>2</v>
      </c>
      <c r="C6" s="3">
        <v>33.860375000000005</v>
      </c>
      <c r="D6" s="3">
        <v>33.484250000000003</v>
      </c>
      <c r="E6" s="3">
        <v>33.484250000000003</v>
      </c>
      <c r="F6" s="3">
        <v>34.236499999999999</v>
      </c>
    </row>
    <row r="7" spans="1:6">
      <c r="A7" s="1" t="s">
        <v>29</v>
      </c>
      <c r="B7" s="3">
        <v>6</v>
      </c>
      <c r="C7" s="3">
        <v>35.256791666666665</v>
      </c>
      <c r="D7" s="3">
        <v>35.1173</v>
      </c>
      <c r="E7" s="3">
        <v>34.44605</v>
      </c>
      <c r="F7" s="3">
        <v>35.856250000000003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0BF5-90AA-487B-B3B5-2CFEB1340492}">
  <dimension ref="A1:O31"/>
  <sheetViews>
    <sheetView workbookViewId="0"/>
  </sheetViews>
  <sheetFormatPr defaultRowHeight="13.9"/>
  <cols>
    <col min="1" max="2" width="5.796875" customWidth="1"/>
    <col min="3" max="5" width="7.06640625" bestFit="1" customWidth="1"/>
    <col min="6" max="7" width="10.19921875" customWidth="1"/>
    <col min="8" max="8" width="11.796875" customWidth="1"/>
    <col min="9" max="9" width="11.265625" customWidth="1"/>
    <col min="10" max="10" width="10.46484375" customWidth="1"/>
    <col min="11" max="11" width="10.59765625" customWidth="1"/>
    <col min="12" max="12" width="9" customWidth="1"/>
    <col min="13" max="15" width="11.06640625" customWidth="1"/>
  </cols>
  <sheetData>
    <row r="1" spans="1:15">
      <c r="A1" s="7" t="s">
        <v>10</v>
      </c>
      <c r="B1" s="8" t="s">
        <v>0</v>
      </c>
      <c r="C1" s="8" t="s">
        <v>4</v>
      </c>
      <c r="D1" s="8" t="s">
        <v>5</v>
      </c>
      <c r="E1" s="8" t="s">
        <v>6</v>
      </c>
      <c r="F1" s="8" t="s">
        <v>1</v>
      </c>
      <c r="G1" s="8" t="s">
        <v>2</v>
      </c>
      <c r="H1" s="8" t="s">
        <v>3</v>
      </c>
      <c r="I1" s="8" t="s">
        <v>7</v>
      </c>
      <c r="J1" s="8" t="s">
        <v>8</v>
      </c>
      <c r="K1" s="8" t="s">
        <v>9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>
      <c r="A2" s="5">
        <v>1</v>
      </c>
      <c r="B2" s="1">
        <v>9</v>
      </c>
      <c r="C2" s="3">
        <v>29.40005</v>
      </c>
      <c r="D2" s="3">
        <v>16.84375</v>
      </c>
      <c r="E2" s="3">
        <v>24.095849999999999</v>
      </c>
      <c r="F2" s="3">
        <v>542</v>
      </c>
      <c r="G2" s="3">
        <v>545.78754578754581</v>
      </c>
      <c r="H2" s="3">
        <v>3.7875457875457998</v>
      </c>
      <c r="I2" s="3">
        <v>99.721217669947364</v>
      </c>
      <c r="J2" s="3">
        <v>61.890592813000687</v>
      </c>
      <c r="K2" s="4">
        <v>3.1853318025570824E-3</v>
      </c>
      <c r="L2" s="1" t="s">
        <v>15</v>
      </c>
      <c r="M2" s="3">
        <v>29.353300000000001</v>
      </c>
      <c r="N2" s="3">
        <v>33.222900000000003</v>
      </c>
      <c r="O2" s="13">
        <v>29.4468</v>
      </c>
    </row>
    <row r="3" spans="1:15">
      <c r="A3" s="5">
        <v>2</v>
      </c>
      <c r="B3" s="1">
        <v>22</v>
      </c>
      <c r="C3" s="3">
        <v>29.476799999999997</v>
      </c>
      <c r="D3" s="3">
        <v>16.378</v>
      </c>
      <c r="E3" s="3">
        <v>24.507449999999999</v>
      </c>
      <c r="F3" s="3">
        <v>543</v>
      </c>
      <c r="G3" s="3">
        <v>547.008547008547</v>
      </c>
      <c r="H3" s="3">
        <v>4.0085470085469996</v>
      </c>
      <c r="I3" s="3">
        <v>99.721217669947364</v>
      </c>
      <c r="J3" s="3">
        <v>62.073701075761043</v>
      </c>
      <c r="K3" s="4">
        <v>3.308606722741235E-2</v>
      </c>
      <c r="L3" s="1" t="s">
        <v>15</v>
      </c>
      <c r="M3" s="3">
        <v>29.956499999999998</v>
      </c>
      <c r="N3" s="3">
        <v>33.715200000000003</v>
      </c>
      <c r="O3" s="13">
        <v>28.9971</v>
      </c>
    </row>
    <row r="4" spans="1:15">
      <c r="A4" s="5">
        <v>3</v>
      </c>
      <c r="B4" s="1">
        <v>29</v>
      </c>
      <c r="C4" s="3">
        <v>31.40455</v>
      </c>
      <c r="D4" s="3">
        <v>16.454099999999997</v>
      </c>
      <c r="E4" s="3">
        <v>26.74475</v>
      </c>
      <c r="F4" s="3">
        <v>631</v>
      </c>
      <c r="G4" s="3">
        <v>635.53113553113553</v>
      </c>
      <c r="H4" s="3">
        <v>4.5311355311354999</v>
      </c>
      <c r="I4" s="3">
        <v>99.721217669947364</v>
      </c>
      <c r="J4" s="3">
        <v>74.769207293812471</v>
      </c>
      <c r="K4" s="4">
        <v>4.4270899686598911E-4</v>
      </c>
      <c r="L4" s="1" t="s">
        <v>16</v>
      </c>
      <c r="M4" s="3">
        <v>30.933599999999998</v>
      </c>
      <c r="N4" s="3">
        <v>31.397600000000001</v>
      </c>
      <c r="O4" s="13">
        <v>31.4115</v>
      </c>
    </row>
    <row r="5" spans="1:15">
      <c r="A5" s="5">
        <v>4</v>
      </c>
      <c r="B5" s="1">
        <v>2</v>
      </c>
      <c r="C5" s="3">
        <v>31.92465</v>
      </c>
      <c r="D5" s="3">
        <v>17.911149999999999</v>
      </c>
      <c r="E5" s="3">
        <v>26.426349999999999</v>
      </c>
      <c r="F5" s="3">
        <v>638</v>
      </c>
      <c r="G5" s="3">
        <v>642.85714285714289</v>
      </c>
      <c r="H5" s="3">
        <v>4.8571428571429003</v>
      </c>
      <c r="I5" s="3">
        <v>99.724193179217195</v>
      </c>
      <c r="J5" s="3">
        <v>75.295643549248496</v>
      </c>
      <c r="K5" s="4">
        <v>5.9157097752155366E-3</v>
      </c>
      <c r="L5" s="1" t="s">
        <v>17</v>
      </c>
      <c r="M5" s="3">
        <v>31.830500000000001</v>
      </c>
      <c r="N5" s="3">
        <v>32.018799999999999</v>
      </c>
      <c r="O5" s="13">
        <v>30.883700000000001</v>
      </c>
    </row>
    <row r="6" spans="1:15">
      <c r="A6" s="5">
        <v>5</v>
      </c>
      <c r="B6" s="1">
        <v>24</v>
      </c>
      <c r="C6" s="3">
        <v>31.991199999999999</v>
      </c>
      <c r="D6" s="3">
        <v>16.274999999999999</v>
      </c>
      <c r="E6" s="3">
        <v>27.539000000000001</v>
      </c>
      <c r="F6" s="3">
        <v>647</v>
      </c>
      <c r="G6" s="3">
        <v>651.40415140415143</v>
      </c>
      <c r="H6" s="3">
        <v>4.4041514041514001</v>
      </c>
      <c r="I6" s="3">
        <v>99.721217669947364</v>
      </c>
      <c r="J6" s="3">
        <v>76.356145571068893</v>
      </c>
      <c r="K6" s="4">
        <v>3.6765051280043823E-3</v>
      </c>
      <c r="L6" s="1" t="s">
        <v>15</v>
      </c>
      <c r="M6" s="3">
        <v>31.932500000000001</v>
      </c>
      <c r="N6" s="3">
        <v>32.354399999999998</v>
      </c>
      <c r="O6" s="13">
        <v>32.049900000000001</v>
      </c>
    </row>
    <row r="7" spans="1:15">
      <c r="A7" s="5">
        <v>6</v>
      </c>
      <c r="B7" s="1">
        <v>8</v>
      </c>
      <c r="C7" s="3">
        <v>32.666449999999998</v>
      </c>
      <c r="D7" s="3">
        <v>17.077100000000002</v>
      </c>
      <c r="E7" s="3">
        <v>27.845300000000002</v>
      </c>
      <c r="F7" s="3">
        <v>656</v>
      </c>
      <c r="G7" s="3">
        <v>660.56166056166057</v>
      </c>
      <c r="H7" s="3">
        <v>4.5616605616605996</v>
      </c>
      <c r="I7" s="3">
        <v>99.718242160677505</v>
      </c>
      <c r="J7" s="3">
        <v>77.634088654917221</v>
      </c>
      <c r="K7" s="4">
        <v>8.1768652899719076E-4</v>
      </c>
      <c r="L7" s="1" t="s">
        <v>16</v>
      </c>
      <c r="M7" s="3">
        <v>32.792200000000001</v>
      </c>
      <c r="N7" s="3">
        <v>32.6798</v>
      </c>
      <c r="O7" s="13">
        <v>32.653100000000002</v>
      </c>
    </row>
    <row r="8" spans="1:15">
      <c r="A8" s="5">
        <v>7</v>
      </c>
      <c r="B8" s="1">
        <v>30</v>
      </c>
      <c r="C8" s="3">
        <v>32.806899999999999</v>
      </c>
      <c r="D8" s="3">
        <v>16.7179</v>
      </c>
      <c r="E8" s="3">
        <v>28.227550000000001</v>
      </c>
      <c r="F8" s="3">
        <v>662</v>
      </c>
      <c r="G8" s="3">
        <v>666.66666666666663</v>
      </c>
      <c r="H8" s="3">
        <v>4.6666666666666003</v>
      </c>
      <c r="I8" s="3">
        <v>99.721217669947364</v>
      </c>
      <c r="J8" s="3">
        <v>79.140917067215995</v>
      </c>
      <c r="K8" s="4">
        <v>1.4441984913283554E-2</v>
      </c>
      <c r="L8" s="1" t="s">
        <v>17</v>
      </c>
      <c r="M8" s="3">
        <v>32.5717</v>
      </c>
      <c r="N8" s="3">
        <v>33.042099999999998</v>
      </c>
      <c r="O8" s="13">
        <v>33.629300000000001</v>
      </c>
    </row>
    <row r="9" spans="1:15">
      <c r="A9" s="5">
        <v>8</v>
      </c>
      <c r="B9" s="1">
        <v>21</v>
      </c>
      <c r="C9" s="3">
        <v>32.844700000000003</v>
      </c>
      <c r="D9" s="3">
        <v>15.439299999999999</v>
      </c>
      <c r="E9" s="3">
        <v>28.987950000000001</v>
      </c>
      <c r="F9" s="3">
        <v>541</v>
      </c>
      <c r="G9" s="3">
        <v>545.17704517704522</v>
      </c>
      <c r="H9" s="3">
        <v>4.1770451770452004</v>
      </c>
      <c r="I9" s="3">
        <v>99.721217669947364</v>
      </c>
      <c r="J9" s="3">
        <v>61.898222323949035</v>
      </c>
      <c r="K9" s="4">
        <v>1.3782997495393813E-2</v>
      </c>
      <c r="L9" s="1" t="s">
        <v>16</v>
      </c>
      <c r="M9" s="3">
        <v>28.943100000000001</v>
      </c>
      <c r="N9" s="3">
        <v>33.069499999999998</v>
      </c>
      <c r="O9" s="13">
        <v>32.619900000000001</v>
      </c>
    </row>
    <row r="10" spans="1:15">
      <c r="A10" s="5">
        <v>9</v>
      </c>
      <c r="B10" s="1">
        <v>19</v>
      </c>
      <c r="C10" s="3">
        <v>33.157350000000001</v>
      </c>
      <c r="D10" s="3">
        <v>19.815750000000001</v>
      </c>
      <c r="E10" s="3">
        <v>26.567599999999999</v>
      </c>
      <c r="F10" s="3">
        <v>516</v>
      </c>
      <c r="G10" s="3">
        <v>520.14652014652017</v>
      </c>
      <c r="H10" s="3">
        <v>4.1465201465202002</v>
      </c>
      <c r="I10" s="3">
        <v>99.721217669947364</v>
      </c>
      <c r="J10" s="3">
        <v>58.594644083314257</v>
      </c>
      <c r="K10" s="4">
        <v>6.1987783959411447E-3</v>
      </c>
      <c r="L10" s="1" t="s">
        <v>15</v>
      </c>
      <c r="M10" s="3">
        <v>33.054900000000004</v>
      </c>
      <c r="N10" s="3">
        <v>39.976399999999998</v>
      </c>
      <c r="O10" s="13">
        <v>33.259799999999998</v>
      </c>
    </row>
    <row r="11" spans="1:15">
      <c r="A11" s="5">
        <v>10</v>
      </c>
      <c r="B11" s="1">
        <v>27</v>
      </c>
      <c r="C11" s="3">
        <v>33.1873</v>
      </c>
      <c r="D11" s="3">
        <v>16.353000000000002</v>
      </c>
      <c r="E11" s="3">
        <v>28.878599999999999</v>
      </c>
      <c r="F11" s="3">
        <v>674</v>
      </c>
      <c r="G11" s="3">
        <v>678.87667887667885</v>
      </c>
      <c r="H11" s="3">
        <v>4.8766788766789002</v>
      </c>
      <c r="I11" s="3">
        <v>99.721217669947364</v>
      </c>
      <c r="J11" s="3">
        <v>80.64011596856642</v>
      </c>
      <c r="K11" s="4">
        <v>5.9476138523793807E-3</v>
      </c>
      <c r="L11" s="1" t="s">
        <v>17</v>
      </c>
      <c r="M11" s="3">
        <v>33.285699999999999</v>
      </c>
      <c r="N11" s="3">
        <v>33.088900000000002</v>
      </c>
      <c r="O11" s="13">
        <v>34.401600000000002</v>
      </c>
    </row>
    <row r="12" spans="1:15">
      <c r="A12" s="5">
        <v>11</v>
      </c>
      <c r="B12" s="1">
        <v>23</v>
      </c>
      <c r="C12" s="3">
        <v>33.241050000000001</v>
      </c>
      <c r="D12" s="3">
        <v>16.733249999999998</v>
      </c>
      <c r="E12" s="3">
        <v>28.722249999999999</v>
      </c>
      <c r="F12" s="3">
        <v>540</v>
      </c>
      <c r="G12" s="3">
        <v>543.95604395604391</v>
      </c>
      <c r="H12" s="3">
        <v>3.9560439560438998</v>
      </c>
      <c r="I12" s="3">
        <v>99.721217669947364</v>
      </c>
      <c r="J12" s="3">
        <v>61.612115663385978</v>
      </c>
      <c r="K12" s="4">
        <v>1.0444351471991633E-3</v>
      </c>
      <c r="L12" s="1" t="s">
        <v>16</v>
      </c>
      <c r="M12" s="3">
        <v>29.8354</v>
      </c>
      <c r="N12" s="3">
        <v>33.258400000000002</v>
      </c>
      <c r="O12" s="13">
        <v>33.223700000000001</v>
      </c>
    </row>
    <row r="13" spans="1:15">
      <c r="A13" s="5">
        <v>12</v>
      </c>
      <c r="B13" s="1">
        <v>18</v>
      </c>
      <c r="C13" s="3">
        <v>33.484250000000003</v>
      </c>
      <c r="D13" s="3">
        <v>16.665700000000001</v>
      </c>
      <c r="E13" s="3">
        <v>29.039850000000001</v>
      </c>
      <c r="F13" s="3">
        <v>680</v>
      </c>
      <c r="G13" s="3">
        <v>684.37118437118443</v>
      </c>
      <c r="H13" s="3">
        <v>4.3711843711844001</v>
      </c>
      <c r="I13" s="3">
        <v>99.721217669947364</v>
      </c>
      <c r="J13" s="3">
        <v>81.166552224002444</v>
      </c>
      <c r="K13" s="4">
        <v>5.0088920558314662E-3</v>
      </c>
      <c r="L13" s="1" t="s">
        <v>15</v>
      </c>
      <c r="M13" s="3">
        <v>33.400599999999997</v>
      </c>
      <c r="N13" s="3">
        <v>34.450299999999999</v>
      </c>
      <c r="O13" s="13">
        <v>33.567900000000002</v>
      </c>
    </row>
    <row r="14" spans="1:15">
      <c r="A14" s="5">
        <v>13</v>
      </c>
      <c r="B14" s="1">
        <v>12</v>
      </c>
      <c r="C14" s="3">
        <v>33.800700000000006</v>
      </c>
      <c r="D14" s="3">
        <v>19.4161</v>
      </c>
      <c r="E14" s="3">
        <v>27.6585</v>
      </c>
      <c r="F14" s="3">
        <v>527</v>
      </c>
      <c r="G14" s="3">
        <v>531.1355311355311</v>
      </c>
      <c r="H14" s="3">
        <v>4.1355311355311004</v>
      </c>
      <c r="I14" s="3">
        <v>99.721217669947364</v>
      </c>
      <c r="J14" s="3">
        <v>59.964141298542764</v>
      </c>
      <c r="K14" s="4">
        <v>1.7482496612728944E-2</v>
      </c>
      <c r="L14" s="1" t="s">
        <v>16</v>
      </c>
      <c r="M14" s="3">
        <v>29.802700000000002</v>
      </c>
      <c r="N14" s="3">
        <v>34.093600000000002</v>
      </c>
      <c r="O14" s="13">
        <v>33.507800000000003</v>
      </c>
    </row>
    <row r="15" spans="1:15">
      <c r="A15" s="5">
        <v>14</v>
      </c>
      <c r="B15" s="1">
        <v>15</v>
      </c>
      <c r="C15" s="3">
        <v>33.890500000000003</v>
      </c>
      <c r="D15" s="3">
        <v>15.38875</v>
      </c>
      <c r="E15" s="3">
        <v>30.192150000000002</v>
      </c>
      <c r="F15" s="3">
        <v>601</v>
      </c>
      <c r="G15" s="3">
        <v>605.00610500610503</v>
      </c>
      <c r="H15" s="3">
        <v>4.0061050061049999</v>
      </c>
      <c r="I15" s="3">
        <v>99.718242160677505</v>
      </c>
      <c r="J15" s="3">
        <v>70.016021972991538</v>
      </c>
      <c r="K15" s="4">
        <v>5.0694799517134626E-2</v>
      </c>
      <c r="L15" s="1" t="s">
        <v>15</v>
      </c>
      <c r="M15" s="3">
        <v>33.052700000000002</v>
      </c>
      <c r="N15" s="3">
        <v>36.502400000000002</v>
      </c>
      <c r="O15" s="13">
        <v>34.728299999999997</v>
      </c>
    </row>
    <row r="16" spans="1:15">
      <c r="A16" s="5">
        <v>15</v>
      </c>
      <c r="B16" s="1">
        <v>3</v>
      </c>
      <c r="C16" s="3">
        <v>33.911550000000005</v>
      </c>
      <c r="D16" s="3">
        <v>15.38645</v>
      </c>
      <c r="E16" s="3">
        <v>30.22</v>
      </c>
      <c r="F16" s="3">
        <v>557</v>
      </c>
      <c r="G16" s="3">
        <v>561.050061050061</v>
      </c>
      <c r="H16" s="3">
        <v>4.0500610500610001</v>
      </c>
      <c r="I16" s="3">
        <v>99.721217669947364</v>
      </c>
      <c r="J16" s="3">
        <v>64.045929655909063</v>
      </c>
      <c r="K16" s="4">
        <v>1.0359607313082419E-2</v>
      </c>
      <c r="L16" s="1" t="s">
        <v>15</v>
      </c>
      <c r="M16" s="3">
        <v>34.086300000000001</v>
      </c>
      <c r="N16" s="3">
        <v>33.076599999999999</v>
      </c>
      <c r="O16" s="13">
        <v>33.736800000000002</v>
      </c>
    </row>
    <row r="17" spans="1:15">
      <c r="A17" s="5">
        <v>16</v>
      </c>
      <c r="B17" s="1">
        <v>7</v>
      </c>
      <c r="C17" s="3">
        <v>33.983999999999995</v>
      </c>
      <c r="D17" s="3">
        <v>17.349049999999998</v>
      </c>
      <c r="E17" s="3">
        <v>29.215499999999999</v>
      </c>
      <c r="F17" s="3">
        <v>668</v>
      </c>
      <c r="G17" s="3">
        <v>672.7716727716728</v>
      </c>
      <c r="H17" s="3">
        <v>4.7716727716728</v>
      </c>
      <c r="I17" s="3">
        <v>99.721217669947364</v>
      </c>
      <c r="J17" s="3">
        <v>79.228656443121992</v>
      </c>
      <c r="K17" s="4">
        <v>2.9173849622065049E-3</v>
      </c>
      <c r="L17" s="1" t="s">
        <v>16</v>
      </c>
      <c r="M17" s="3">
        <v>34.290900000000001</v>
      </c>
      <c r="N17" s="3">
        <v>34.033499999999997</v>
      </c>
      <c r="O17" s="13">
        <v>33.9345</v>
      </c>
    </row>
    <row r="18" spans="1:15">
      <c r="A18" s="5">
        <v>17</v>
      </c>
      <c r="B18" s="1">
        <v>14</v>
      </c>
      <c r="C18" s="3">
        <v>34.106549999999999</v>
      </c>
      <c r="D18" s="3">
        <v>14.32105</v>
      </c>
      <c r="E18" s="3">
        <v>30.953399999999998</v>
      </c>
      <c r="F18" s="3">
        <v>569</v>
      </c>
      <c r="G18" s="3">
        <v>573.26007326007323</v>
      </c>
      <c r="H18" s="3">
        <v>4.2600732600731996</v>
      </c>
      <c r="I18" s="3">
        <v>99.721217669947364</v>
      </c>
      <c r="J18" s="3">
        <v>65.735866330968179</v>
      </c>
      <c r="K18" s="4">
        <v>1.8813982189311809E-2</v>
      </c>
      <c r="L18" s="1" t="s">
        <v>15</v>
      </c>
      <c r="M18" s="3">
        <v>33.788699999999999</v>
      </c>
      <c r="N18" s="3">
        <v>43.157400000000003</v>
      </c>
      <c r="O18" s="13">
        <v>34.424399999999999</v>
      </c>
    </row>
    <row r="19" spans="1:15">
      <c r="A19" s="5">
        <v>18</v>
      </c>
      <c r="B19" s="1">
        <v>11</v>
      </c>
      <c r="C19" s="3">
        <v>34.236499999999999</v>
      </c>
      <c r="D19" s="3">
        <v>16.439150000000001</v>
      </c>
      <c r="E19" s="3">
        <v>30.031549999999999</v>
      </c>
      <c r="F19" s="3">
        <v>693</v>
      </c>
      <c r="G19" s="3">
        <v>697.80219780219784</v>
      </c>
      <c r="H19" s="3">
        <v>4.8021978021978002</v>
      </c>
      <c r="I19" s="3">
        <v>99.718242160677505</v>
      </c>
      <c r="J19" s="3">
        <v>82.860303654535741</v>
      </c>
      <c r="K19" s="4">
        <v>3.0965902451554758E-4</v>
      </c>
      <c r="L19" s="1" t="s">
        <v>15</v>
      </c>
      <c r="M19" s="3">
        <v>34.231200000000001</v>
      </c>
      <c r="N19" s="3">
        <v>33.519100000000002</v>
      </c>
      <c r="O19" s="13">
        <v>34.241799999999998</v>
      </c>
    </row>
    <row r="20" spans="1:15">
      <c r="A20" s="5">
        <v>19</v>
      </c>
      <c r="B20" s="1">
        <v>10</v>
      </c>
      <c r="C20" s="3">
        <v>34.44605</v>
      </c>
      <c r="D20" s="3">
        <v>15.994899999999999</v>
      </c>
      <c r="E20" s="3">
        <v>30.50665</v>
      </c>
      <c r="F20" s="3">
        <v>706</v>
      </c>
      <c r="G20" s="3">
        <v>710.62271062271066</v>
      </c>
      <c r="H20" s="3">
        <v>4.6227106227107004</v>
      </c>
      <c r="I20" s="3">
        <v>99.721217669947364</v>
      </c>
      <c r="J20" s="3">
        <v>84.573128862439916</v>
      </c>
      <c r="K20" s="4">
        <v>2.8869300275610093E-3</v>
      </c>
      <c r="L20" s="1" t="s">
        <v>17</v>
      </c>
      <c r="M20" s="3">
        <v>34.3964</v>
      </c>
      <c r="N20" s="3">
        <v>34.495699999999999</v>
      </c>
      <c r="O20" s="13">
        <v>34.745699999999999</v>
      </c>
    </row>
    <row r="21" spans="1:15">
      <c r="A21" s="5">
        <v>20</v>
      </c>
      <c r="B21" s="1">
        <v>17</v>
      </c>
      <c r="C21" s="3">
        <v>34.651049999999998</v>
      </c>
      <c r="D21" s="3">
        <v>17.279400000000003</v>
      </c>
      <c r="E21" s="3">
        <v>30.0336</v>
      </c>
      <c r="F21" s="3">
        <v>613</v>
      </c>
      <c r="G21" s="3">
        <v>617.21611721611725</v>
      </c>
      <c r="H21" s="3">
        <v>4.2161172161172997</v>
      </c>
      <c r="I21" s="3">
        <v>99.721217669947364</v>
      </c>
      <c r="J21" s="3">
        <v>71.812771801327528</v>
      </c>
      <c r="K21" s="4">
        <v>1.6723422322735043E-3</v>
      </c>
      <c r="L21" s="1" t="s">
        <v>15</v>
      </c>
      <c r="M21" s="3">
        <v>34.622100000000003</v>
      </c>
      <c r="N21" s="3">
        <v>35.456499999999998</v>
      </c>
      <c r="O21" s="13">
        <v>34.68</v>
      </c>
    </row>
    <row r="22" spans="1:15">
      <c r="A22" s="5">
        <v>21</v>
      </c>
      <c r="B22" s="1">
        <v>5</v>
      </c>
      <c r="C22" s="3">
        <v>34.703800000000001</v>
      </c>
      <c r="D22" s="3">
        <v>13.9534</v>
      </c>
      <c r="E22" s="3">
        <v>31.774099999999997</v>
      </c>
      <c r="F22" s="3">
        <v>586</v>
      </c>
      <c r="G22" s="3">
        <v>589.74358974358972</v>
      </c>
      <c r="H22" s="3">
        <v>3.7435897435897001</v>
      </c>
      <c r="I22" s="3">
        <v>99.721217669947364</v>
      </c>
      <c r="J22" s="3">
        <v>67.761501487754629</v>
      </c>
      <c r="K22" s="4">
        <v>2.1971235219231597E-2</v>
      </c>
      <c r="L22" s="1" t="s">
        <v>16</v>
      </c>
      <c r="M22" s="3">
        <v>93.518199999999993</v>
      </c>
      <c r="N22" s="3">
        <v>34.326700000000002</v>
      </c>
      <c r="O22" s="13">
        <v>35.0809</v>
      </c>
    </row>
    <row r="23" spans="1:15">
      <c r="A23" s="5">
        <v>22</v>
      </c>
      <c r="B23" s="1">
        <v>26</v>
      </c>
      <c r="C23" s="3">
        <v>34.984000000000002</v>
      </c>
      <c r="D23" s="3">
        <v>16.011299999999999</v>
      </c>
      <c r="E23" s="3">
        <v>31.102499999999999</v>
      </c>
      <c r="F23" s="3">
        <v>713</v>
      </c>
      <c r="G23" s="3">
        <v>717.33821733821731</v>
      </c>
      <c r="H23" s="3">
        <v>4.3382173382172997</v>
      </c>
      <c r="I23" s="3">
        <v>99.718242160677505</v>
      </c>
      <c r="J23" s="3">
        <v>85.801480125123973</v>
      </c>
      <c r="K23" s="4">
        <v>5.5493132151621096E-3</v>
      </c>
      <c r="L23" s="1" t="s">
        <v>15</v>
      </c>
      <c r="M23" s="3">
        <v>34.8872</v>
      </c>
      <c r="N23" s="3">
        <v>35.753900000000002</v>
      </c>
      <c r="O23" s="13">
        <v>35.080800000000004</v>
      </c>
    </row>
    <row r="24" spans="1:15">
      <c r="A24" s="5">
        <v>23</v>
      </c>
      <c r="B24" s="1">
        <v>1</v>
      </c>
      <c r="C24" s="3">
        <v>35.1173</v>
      </c>
      <c r="D24" s="3">
        <v>15.9619</v>
      </c>
      <c r="E24" s="3">
        <v>31.27985</v>
      </c>
      <c r="F24" s="3">
        <v>735</v>
      </c>
      <c r="G24" s="3">
        <v>739.31623931623926</v>
      </c>
      <c r="H24" s="3">
        <v>4.3162393162393</v>
      </c>
      <c r="I24" s="3">
        <v>99.721217669947364</v>
      </c>
      <c r="J24" s="3">
        <v>88.544289311055167</v>
      </c>
      <c r="K24" s="4">
        <v>3.9304593510764232E-4</v>
      </c>
      <c r="L24" s="1" t="s">
        <v>16</v>
      </c>
      <c r="M24" s="3">
        <v>35.835500000000003</v>
      </c>
      <c r="N24" s="3">
        <v>35.124200000000002</v>
      </c>
      <c r="O24" s="13">
        <v>35.110399999999998</v>
      </c>
    </row>
    <row r="25" spans="1:15">
      <c r="A25" s="5">
        <v>24</v>
      </c>
      <c r="B25" s="1">
        <v>4</v>
      </c>
      <c r="C25" s="3">
        <v>35.224149999999995</v>
      </c>
      <c r="D25" s="3">
        <v>25.1081</v>
      </c>
      <c r="E25" s="3">
        <v>24.701350000000001</v>
      </c>
      <c r="F25" s="3">
        <v>504</v>
      </c>
      <c r="G25" s="3">
        <v>507.93650793650789</v>
      </c>
      <c r="H25" s="3">
        <v>3.9365079365079501</v>
      </c>
      <c r="I25" s="3">
        <v>99.721217669947364</v>
      </c>
      <c r="J25" s="3">
        <v>56.717784390020597</v>
      </c>
      <c r="K25" s="4">
        <v>5.0138667799678224E-2</v>
      </c>
      <c r="L25" s="1" t="s">
        <v>15</v>
      </c>
      <c r="M25" s="3">
        <v>36.085599999999999</v>
      </c>
      <c r="N25" s="3">
        <v>39.7819</v>
      </c>
      <c r="O25" s="13">
        <v>34.362699999999997</v>
      </c>
    </row>
    <row r="26" spans="1:15">
      <c r="A26" s="5">
        <v>25</v>
      </c>
      <c r="B26" s="1">
        <v>16</v>
      </c>
      <c r="C26" s="3">
        <v>35.375950000000003</v>
      </c>
      <c r="D26" s="3">
        <v>15.85895</v>
      </c>
      <c r="E26" s="3">
        <v>31.62105</v>
      </c>
      <c r="F26" s="3">
        <v>750</v>
      </c>
      <c r="G26" s="3">
        <v>754.57875457875457</v>
      </c>
      <c r="H26" s="3">
        <v>4.5787545787545998</v>
      </c>
      <c r="I26" s="3">
        <v>99.724193179217195</v>
      </c>
      <c r="J26" s="3">
        <v>90.745403219653625</v>
      </c>
      <c r="K26" s="4">
        <v>1.1477194867814688E-2</v>
      </c>
      <c r="L26" s="1" t="s">
        <v>15</v>
      </c>
      <c r="M26" s="3">
        <v>35.577800000000003</v>
      </c>
      <c r="N26" s="3">
        <v>36.1096</v>
      </c>
      <c r="O26" s="13">
        <v>35.174100000000003</v>
      </c>
    </row>
    <row r="27" spans="1:15">
      <c r="A27" s="5">
        <v>26</v>
      </c>
      <c r="B27" s="1">
        <v>25</v>
      </c>
      <c r="C27" s="3">
        <v>35.70825</v>
      </c>
      <c r="D27" s="3">
        <v>14.91595</v>
      </c>
      <c r="E27" s="3">
        <v>32.442900000000002</v>
      </c>
      <c r="F27" s="3">
        <v>594</v>
      </c>
      <c r="G27" s="3">
        <v>597.68009768009767</v>
      </c>
      <c r="H27" s="3">
        <v>3.6800976800976999</v>
      </c>
      <c r="I27" s="3">
        <v>99.721217669947364</v>
      </c>
      <c r="J27" s="3">
        <v>69.089036392767227</v>
      </c>
      <c r="K27" s="4">
        <v>2.0034451449760963E-2</v>
      </c>
      <c r="L27" s="1" t="s">
        <v>16</v>
      </c>
      <c r="M27" s="3">
        <v>32.617199999999997</v>
      </c>
      <c r="N27" s="3">
        <v>35.354100000000003</v>
      </c>
      <c r="O27" s="13">
        <v>36.062399999999997</v>
      </c>
    </row>
    <row r="28" spans="1:15">
      <c r="A28" s="5">
        <v>27</v>
      </c>
      <c r="B28" s="1">
        <v>13</v>
      </c>
      <c r="C28" s="3">
        <v>35.761200000000002</v>
      </c>
      <c r="D28" s="3">
        <v>16.444850000000002</v>
      </c>
      <c r="E28" s="3">
        <v>31.755199999999999</v>
      </c>
      <c r="F28" s="3">
        <v>721</v>
      </c>
      <c r="G28" s="3">
        <v>725.27472527472526</v>
      </c>
      <c r="H28" s="3">
        <v>4.2747252747253004</v>
      </c>
      <c r="I28" s="3">
        <v>99.721217669947364</v>
      </c>
      <c r="J28" s="3">
        <v>86.62165255207141</v>
      </c>
      <c r="K28" s="4">
        <v>1.1689458673432011E-2</v>
      </c>
      <c r="L28" s="1" t="s">
        <v>15</v>
      </c>
      <c r="M28" s="3">
        <v>35.969000000000001</v>
      </c>
      <c r="N28" s="3">
        <v>34.778199999999998</v>
      </c>
      <c r="O28" s="13">
        <v>35.553400000000003</v>
      </c>
    </row>
    <row r="29" spans="1:15">
      <c r="A29" s="5">
        <v>28</v>
      </c>
      <c r="B29" s="1">
        <v>6</v>
      </c>
      <c r="C29" s="3">
        <v>35.762999999999998</v>
      </c>
      <c r="D29" s="3">
        <v>17.683949999999999</v>
      </c>
      <c r="E29" s="3">
        <v>31.084849999999999</v>
      </c>
      <c r="F29" s="3">
        <v>625</v>
      </c>
      <c r="G29" s="3">
        <v>629.42612942612948</v>
      </c>
      <c r="H29" s="3">
        <v>4.4261294261295001</v>
      </c>
      <c r="I29" s="3">
        <v>99.721217669947364</v>
      </c>
      <c r="J29" s="3">
        <v>73.140306706340127</v>
      </c>
      <c r="K29" s="4">
        <v>1.3727786661861767E-2</v>
      </c>
      <c r="L29" s="1" t="s">
        <v>16</v>
      </c>
      <c r="M29" s="3">
        <v>30.4529</v>
      </c>
      <c r="N29" s="3">
        <v>36.006799999999998</v>
      </c>
      <c r="O29" s="13">
        <v>35.519199999999998</v>
      </c>
    </row>
    <row r="30" spans="1:15">
      <c r="A30" s="5">
        <v>29</v>
      </c>
      <c r="B30" s="1">
        <v>28</v>
      </c>
      <c r="C30" s="3">
        <v>35.856250000000003</v>
      </c>
      <c r="D30" s="3">
        <v>15.82685</v>
      </c>
      <c r="E30" s="3">
        <v>32.174199999999999</v>
      </c>
      <c r="F30" s="3">
        <v>728</v>
      </c>
      <c r="G30" s="3">
        <v>732.60073260073261</v>
      </c>
      <c r="H30" s="3">
        <v>4.6007326007326004</v>
      </c>
      <c r="I30" s="3">
        <v>99.721217669947364</v>
      </c>
      <c r="J30" s="3">
        <v>88.296330205233843</v>
      </c>
      <c r="K30" s="4">
        <v>1.4526219390578582E-2</v>
      </c>
      <c r="L30" s="1" t="s">
        <v>16</v>
      </c>
      <c r="M30" s="3">
        <v>35.058799999999998</v>
      </c>
      <c r="N30" s="3">
        <v>36.114800000000002</v>
      </c>
      <c r="O30" s="13">
        <v>35.597700000000003</v>
      </c>
    </row>
    <row r="31" spans="1:15">
      <c r="A31" s="10">
        <v>30</v>
      </c>
      <c r="B31" s="14">
        <v>20</v>
      </c>
      <c r="C31" s="11">
        <v>43.492849999999997</v>
      </c>
      <c r="D31" s="11">
        <v>14.26905</v>
      </c>
      <c r="E31" s="11">
        <v>41.083399999999997</v>
      </c>
      <c r="F31" s="11">
        <v>577</v>
      </c>
      <c r="G31" s="11">
        <v>581.19658119658118</v>
      </c>
      <c r="H31" s="11">
        <v>4.1965811965812003</v>
      </c>
      <c r="I31" s="11">
        <v>99.721217669947364</v>
      </c>
      <c r="J31" s="11">
        <v>66.838330663004498</v>
      </c>
      <c r="K31" s="15">
        <v>3.7288508740701762E-2</v>
      </c>
      <c r="L31" s="14" t="s">
        <v>17</v>
      </c>
      <c r="M31" s="11">
        <v>42.696800000000003</v>
      </c>
      <c r="N31" s="11">
        <v>44.288899999999998</v>
      </c>
      <c r="O31" s="16">
        <v>34.619999999999997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27DD-AD79-443F-AE10-63053FC64E65}">
  <dimension ref="A1:J31"/>
  <sheetViews>
    <sheetView workbookViewId="0"/>
  </sheetViews>
  <sheetFormatPr defaultRowHeight="13.9"/>
  <cols>
    <col min="1" max="1" width="5.796875" customWidth="1"/>
    <col min="2" max="3" width="10.19921875" customWidth="1"/>
    <col min="4" max="4" width="11.796875" customWidth="1"/>
    <col min="5" max="7" width="7.06640625" bestFit="1" customWidth="1"/>
    <col min="8" max="8" width="11.265625" customWidth="1"/>
    <col min="9" max="9" width="10.46484375" customWidth="1"/>
    <col min="10" max="10" width="10.59765625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5">
        <v>1</v>
      </c>
      <c r="B2" s="3">
        <v>735</v>
      </c>
      <c r="C2" s="3">
        <v>739.31623931623926</v>
      </c>
      <c r="D2" s="3">
        <v>4.3162393162393</v>
      </c>
      <c r="E2" s="3">
        <v>35.1173</v>
      </c>
      <c r="F2" s="3">
        <v>15.9619</v>
      </c>
      <c r="G2" s="3">
        <v>31.27985</v>
      </c>
      <c r="H2" s="3">
        <v>99.721217669947364</v>
      </c>
      <c r="I2" s="3">
        <v>88.544289311055167</v>
      </c>
      <c r="J2" s="6">
        <v>3.9304593510764232E-4</v>
      </c>
    </row>
    <row r="3" spans="1:10">
      <c r="A3" s="5">
        <v>2</v>
      </c>
      <c r="B3" s="3">
        <v>638</v>
      </c>
      <c r="C3" s="3">
        <v>642.85714285714289</v>
      </c>
      <c r="D3" s="3">
        <v>4.8571428571429003</v>
      </c>
      <c r="E3" s="3">
        <v>31.92465</v>
      </c>
      <c r="F3" s="3">
        <v>17.911149999999999</v>
      </c>
      <c r="G3" s="3">
        <v>26.426349999999999</v>
      </c>
      <c r="H3" s="3">
        <v>99.724193179217195</v>
      </c>
      <c r="I3" s="3">
        <v>75.295643549248496</v>
      </c>
      <c r="J3" s="6">
        <v>5.9157097752155366E-3</v>
      </c>
    </row>
    <row r="4" spans="1:10">
      <c r="A4" s="5">
        <v>3</v>
      </c>
      <c r="B4" s="3">
        <v>557</v>
      </c>
      <c r="C4" s="3">
        <v>561.050061050061</v>
      </c>
      <c r="D4" s="3">
        <v>4.0500610500610001</v>
      </c>
      <c r="E4" s="3">
        <v>33.911550000000005</v>
      </c>
      <c r="F4" s="3">
        <v>15.38645</v>
      </c>
      <c r="G4" s="3">
        <v>30.22</v>
      </c>
      <c r="H4" s="3">
        <v>99.721217669947364</v>
      </c>
      <c r="I4" s="3">
        <v>64.045929655909063</v>
      </c>
      <c r="J4" s="6">
        <v>1.0359607313082419E-2</v>
      </c>
    </row>
    <row r="5" spans="1:10">
      <c r="A5" s="5">
        <v>4</v>
      </c>
      <c r="B5" s="3">
        <v>504</v>
      </c>
      <c r="C5" s="3">
        <v>507.93650793650789</v>
      </c>
      <c r="D5" s="3">
        <v>3.9365079365079501</v>
      </c>
      <c r="E5" s="3">
        <v>35.224149999999995</v>
      </c>
      <c r="F5" s="3">
        <v>25.1081</v>
      </c>
      <c r="G5" s="3">
        <v>24.701350000000001</v>
      </c>
      <c r="H5" s="3">
        <v>99.721217669947364</v>
      </c>
      <c r="I5" s="3">
        <v>56.717784390020597</v>
      </c>
      <c r="J5" s="6">
        <v>5.0138667799678224E-2</v>
      </c>
    </row>
    <row r="6" spans="1:10">
      <c r="A6" s="5">
        <v>5</v>
      </c>
      <c r="B6" s="3">
        <v>586</v>
      </c>
      <c r="C6" s="3">
        <v>589.74358974358972</v>
      </c>
      <c r="D6" s="3">
        <v>3.7435897435897001</v>
      </c>
      <c r="E6" s="3">
        <v>34.703800000000001</v>
      </c>
      <c r="F6" s="3">
        <v>13.9534</v>
      </c>
      <c r="G6" s="3">
        <v>31.774099999999997</v>
      </c>
      <c r="H6" s="3">
        <v>99.721217669947364</v>
      </c>
      <c r="I6" s="3">
        <v>67.761501487754629</v>
      </c>
      <c r="J6" s="6">
        <v>2.1971235219231597E-2</v>
      </c>
    </row>
    <row r="7" spans="1:10">
      <c r="A7" s="5">
        <v>6</v>
      </c>
      <c r="B7" s="3">
        <v>625</v>
      </c>
      <c r="C7" s="3">
        <v>629.42612942612948</v>
      </c>
      <c r="D7" s="3">
        <v>4.4261294261295001</v>
      </c>
      <c r="E7" s="3">
        <v>35.762999999999998</v>
      </c>
      <c r="F7" s="3">
        <v>17.683949999999999</v>
      </c>
      <c r="G7" s="3">
        <v>31.084849999999999</v>
      </c>
      <c r="H7" s="3">
        <v>99.721217669947364</v>
      </c>
      <c r="I7" s="3">
        <v>73.140306706340127</v>
      </c>
      <c r="J7" s="6">
        <v>1.3727786661861767E-2</v>
      </c>
    </row>
    <row r="8" spans="1:10">
      <c r="A8" s="5">
        <v>7</v>
      </c>
      <c r="B8" s="3">
        <v>668</v>
      </c>
      <c r="C8" s="3">
        <v>672.7716727716728</v>
      </c>
      <c r="D8" s="3">
        <v>4.7716727716728</v>
      </c>
      <c r="E8" s="3">
        <v>33.983999999999995</v>
      </c>
      <c r="F8" s="3">
        <v>17.349049999999998</v>
      </c>
      <c r="G8" s="3">
        <v>29.215499999999999</v>
      </c>
      <c r="H8" s="3">
        <v>99.721217669947364</v>
      </c>
      <c r="I8" s="3">
        <v>79.228656443121992</v>
      </c>
      <c r="J8" s="6">
        <v>2.9173849622065049E-3</v>
      </c>
    </row>
    <row r="9" spans="1:10">
      <c r="A9" s="5">
        <v>8</v>
      </c>
      <c r="B9" s="3">
        <v>656</v>
      </c>
      <c r="C9" s="3">
        <v>660.56166056166057</v>
      </c>
      <c r="D9" s="3">
        <v>4.5616605616605996</v>
      </c>
      <c r="E9" s="3">
        <v>32.666449999999998</v>
      </c>
      <c r="F9" s="3">
        <v>17.077100000000002</v>
      </c>
      <c r="G9" s="3">
        <v>27.845300000000002</v>
      </c>
      <c r="H9" s="3">
        <v>99.718242160677505</v>
      </c>
      <c r="I9" s="3">
        <v>77.634088654917221</v>
      </c>
      <c r="J9" s="6">
        <v>8.1768652899719076E-4</v>
      </c>
    </row>
    <row r="10" spans="1:10">
      <c r="A10" s="5">
        <v>9</v>
      </c>
      <c r="B10" s="3">
        <v>542</v>
      </c>
      <c r="C10" s="3">
        <v>545.78754578754581</v>
      </c>
      <c r="D10" s="3">
        <v>3.7875457875457998</v>
      </c>
      <c r="E10" s="3">
        <v>29.40005</v>
      </c>
      <c r="F10" s="3">
        <v>16.84375</v>
      </c>
      <c r="G10" s="3">
        <v>24.095849999999999</v>
      </c>
      <c r="H10" s="3">
        <v>99.721217669947364</v>
      </c>
      <c r="I10" s="3">
        <v>61.890592813000687</v>
      </c>
      <c r="J10" s="6">
        <v>3.1853318025570824E-3</v>
      </c>
    </row>
    <row r="11" spans="1:10">
      <c r="A11" s="5">
        <v>10</v>
      </c>
      <c r="B11" s="3">
        <v>706</v>
      </c>
      <c r="C11" s="3">
        <v>710.62271062271066</v>
      </c>
      <c r="D11" s="3">
        <v>4.6227106227107004</v>
      </c>
      <c r="E11" s="3">
        <v>34.44605</v>
      </c>
      <c r="F11" s="3">
        <v>15.994899999999999</v>
      </c>
      <c r="G11" s="3">
        <v>30.50665</v>
      </c>
      <c r="H11" s="3">
        <v>99.721217669947364</v>
      </c>
      <c r="I11" s="3">
        <v>84.573128862439916</v>
      </c>
      <c r="J11" s="6">
        <v>2.8869300275610093E-3</v>
      </c>
    </row>
    <row r="12" spans="1:10">
      <c r="A12" s="5">
        <v>11</v>
      </c>
      <c r="B12" s="3">
        <v>693</v>
      </c>
      <c r="C12" s="3">
        <v>697.80219780219784</v>
      </c>
      <c r="D12" s="3">
        <v>4.8021978021978002</v>
      </c>
      <c r="E12" s="3">
        <v>34.236499999999999</v>
      </c>
      <c r="F12" s="3">
        <v>16.439150000000001</v>
      </c>
      <c r="G12" s="3">
        <v>30.031549999999999</v>
      </c>
      <c r="H12" s="3">
        <v>99.718242160677505</v>
      </c>
      <c r="I12" s="3">
        <v>82.860303654535741</v>
      </c>
      <c r="J12" s="6">
        <v>3.0965902451554758E-4</v>
      </c>
    </row>
    <row r="13" spans="1:10">
      <c r="A13" s="5">
        <v>12</v>
      </c>
      <c r="B13" s="3">
        <v>527</v>
      </c>
      <c r="C13" s="3">
        <v>531.1355311355311</v>
      </c>
      <c r="D13" s="3">
        <v>4.1355311355311004</v>
      </c>
      <c r="E13" s="3">
        <v>33.800700000000006</v>
      </c>
      <c r="F13" s="3">
        <v>19.4161</v>
      </c>
      <c r="G13" s="3">
        <v>27.6585</v>
      </c>
      <c r="H13" s="3">
        <v>99.721217669947364</v>
      </c>
      <c r="I13" s="3">
        <v>59.964141298542764</v>
      </c>
      <c r="J13" s="6">
        <v>1.7482496612728944E-2</v>
      </c>
    </row>
    <row r="14" spans="1:10">
      <c r="A14" s="5">
        <v>13</v>
      </c>
      <c r="B14" s="3">
        <v>721</v>
      </c>
      <c r="C14" s="3">
        <v>725.27472527472526</v>
      </c>
      <c r="D14" s="3">
        <v>4.2747252747253004</v>
      </c>
      <c r="E14" s="3">
        <v>35.761200000000002</v>
      </c>
      <c r="F14" s="3">
        <v>16.444850000000002</v>
      </c>
      <c r="G14" s="3">
        <v>31.755199999999999</v>
      </c>
      <c r="H14" s="3">
        <v>99.721217669947364</v>
      </c>
      <c r="I14" s="3">
        <v>86.62165255207141</v>
      </c>
      <c r="J14" s="6">
        <v>1.1689458673432011E-2</v>
      </c>
    </row>
    <row r="15" spans="1:10">
      <c r="A15" s="5">
        <v>14</v>
      </c>
      <c r="B15" s="3">
        <v>569</v>
      </c>
      <c r="C15" s="3">
        <v>573.26007326007323</v>
      </c>
      <c r="D15" s="3">
        <v>4.2600732600731996</v>
      </c>
      <c r="E15" s="3">
        <v>34.106549999999999</v>
      </c>
      <c r="F15" s="3">
        <v>14.32105</v>
      </c>
      <c r="G15" s="3">
        <v>30.953399999999998</v>
      </c>
      <c r="H15" s="3">
        <v>99.721217669947364</v>
      </c>
      <c r="I15" s="3">
        <v>65.735866330968179</v>
      </c>
      <c r="J15" s="6">
        <v>1.8813982189311809E-2</v>
      </c>
    </row>
    <row r="16" spans="1:10">
      <c r="A16" s="5">
        <v>15</v>
      </c>
      <c r="B16" s="3">
        <v>601</v>
      </c>
      <c r="C16" s="3">
        <v>605.00610500610503</v>
      </c>
      <c r="D16" s="3">
        <v>4.0061050061049999</v>
      </c>
      <c r="E16" s="3">
        <v>33.890500000000003</v>
      </c>
      <c r="F16" s="3">
        <v>15.38875</v>
      </c>
      <c r="G16" s="3">
        <v>30.192150000000002</v>
      </c>
      <c r="H16" s="3">
        <v>99.718242160677505</v>
      </c>
      <c r="I16" s="3">
        <v>70.016021972991538</v>
      </c>
      <c r="J16" s="6">
        <v>5.0694799517134626E-2</v>
      </c>
    </row>
    <row r="17" spans="1:10">
      <c r="A17" s="5">
        <v>16</v>
      </c>
      <c r="B17" s="3">
        <v>750</v>
      </c>
      <c r="C17" s="3">
        <v>754.57875457875457</v>
      </c>
      <c r="D17" s="3">
        <v>4.5787545787545998</v>
      </c>
      <c r="E17" s="3">
        <v>35.375950000000003</v>
      </c>
      <c r="F17" s="3">
        <v>15.85895</v>
      </c>
      <c r="G17" s="3">
        <v>31.62105</v>
      </c>
      <c r="H17" s="3">
        <v>99.724193179217195</v>
      </c>
      <c r="I17" s="3">
        <v>90.745403219653625</v>
      </c>
      <c r="J17" s="6">
        <v>1.1477194867814688E-2</v>
      </c>
    </row>
    <row r="18" spans="1:10">
      <c r="A18" s="5">
        <v>17</v>
      </c>
      <c r="B18" s="3">
        <v>613</v>
      </c>
      <c r="C18" s="3">
        <v>617.21611721611725</v>
      </c>
      <c r="D18" s="3">
        <v>4.2161172161172997</v>
      </c>
      <c r="E18" s="3">
        <v>34.651049999999998</v>
      </c>
      <c r="F18" s="3">
        <v>17.279400000000003</v>
      </c>
      <c r="G18" s="3">
        <v>30.0336</v>
      </c>
      <c r="H18" s="3">
        <v>99.721217669947364</v>
      </c>
      <c r="I18" s="3">
        <v>71.812771801327528</v>
      </c>
      <c r="J18" s="6">
        <v>1.6723422322735043E-3</v>
      </c>
    </row>
    <row r="19" spans="1:10">
      <c r="A19" s="5">
        <v>18</v>
      </c>
      <c r="B19" s="3">
        <v>680</v>
      </c>
      <c r="C19" s="3">
        <v>684.37118437118443</v>
      </c>
      <c r="D19" s="3">
        <v>4.3711843711844001</v>
      </c>
      <c r="E19" s="3">
        <v>33.484250000000003</v>
      </c>
      <c r="F19" s="3">
        <v>16.665700000000001</v>
      </c>
      <c r="G19" s="3">
        <v>29.039850000000001</v>
      </c>
      <c r="H19" s="3">
        <v>99.721217669947364</v>
      </c>
      <c r="I19" s="3">
        <v>81.166552224002444</v>
      </c>
      <c r="J19" s="6">
        <v>5.0088920558314662E-3</v>
      </c>
    </row>
    <row r="20" spans="1:10">
      <c r="A20" s="5">
        <v>19</v>
      </c>
      <c r="B20" s="3">
        <v>516</v>
      </c>
      <c r="C20" s="3">
        <v>520.14652014652017</v>
      </c>
      <c r="D20" s="3">
        <v>4.1465201465202002</v>
      </c>
      <c r="E20" s="3">
        <v>33.157350000000001</v>
      </c>
      <c r="F20" s="3">
        <v>19.815750000000001</v>
      </c>
      <c r="G20" s="3">
        <v>26.567599999999999</v>
      </c>
      <c r="H20" s="3">
        <v>99.721217669947364</v>
      </c>
      <c r="I20" s="3">
        <v>58.594644083314257</v>
      </c>
      <c r="J20" s="6">
        <v>6.1987783959411447E-3</v>
      </c>
    </row>
    <row r="21" spans="1:10">
      <c r="A21" s="5">
        <v>20</v>
      </c>
      <c r="B21" s="3">
        <v>577</v>
      </c>
      <c r="C21" s="3">
        <v>581.19658119658118</v>
      </c>
      <c r="D21" s="3">
        <v>4.1965811965812003</v>
      </c>
      <c r="E21" s="3">
        <v>43.492849999999997</v>
      </c>
      <c r="F21" s="3">
        <v>14.26905</v>
      </c>
      <c r="G21" s="3">
        <v>41.083399999999997</v>
      </c>
      <c r="H21" s="3">
        <v>99.721217669947364</v>
      </c>
      <c r="I21" s="3">
        <v>66.838330663004498</v>
      </c>
      <c r="J21" s="6">
        <v>3.7288508740701762E-2</v>
      </c>
    </row>
    <row r="22" spans="1:10">
      <c r="A22" s="5">
        <v>21</v>
      </c>
      <c r="B22" s="3">
        <v>541</v>
      </c>
      <c r="C22" s="3">
        <v>545.17704517704522</v>
      </c>
      <c r="D22" s="3">
        <v>4.1770451770452004</v>
      </c>
      <c r="E22" s="3">
        <v>32.844700000000003</v>
      </c>
      <c r="F22" s="3">
        <v>15.439299999999999</v>
      </c>
      <c r="G22" s="3">
        <v>28.987950000000001</v>
      </c>
      <c r="H22" s="3">
        <v>99.721217669947364</v>
      </c>
      <c r="I22" s="3">
        <v>61.898222323949035</v>
      </c>
      <c r="J22" s="6">
        <v>1.3782997495393813E-2</v>
      </c>
    </row>
    <row r="23" spans="1:10">
      <c r="A23" s="5">
        <v>22</v>
      </c>
      <c r="B23" s="3">
        <v>543</v>
      </c>
      <c r="C23" s="3">
        <v>547.008547008547</v>
      </c>
      <c r="D23" s="3">
        <v>4.0085470085469996</v>
      </c>
      <c r="E23" s="3">
        <v>29.476799999999997</v>
      </c>
      <c r="F23" s="3">
        <v>16.378</v>
      </c>
      <c r="G23" s="3">
        <v>24.507449999999999</v>
      </c>
      <c r="H23" s="3">
        <v>99.721217669947364</v>
      </c>
      <c r="I23" s="3">
        <v>62.073701075761043</v>
      </c>
      <c r="J23" s="6">
        <v>3.308606722741235E-2</v>
      </c>
    </row>
    <row r="24" spans="1:10">
      <c r="A24" s="5">
        <v>23</v>
      </c>
      <c r="B24" s="3">
        <v>540</v>
      </c>
      <c r="C24" s="3">
        <v>543.95604395604391</v>
      </c>
      <c r="D24" s="3">
        <v>3.9560439560438998</v>
      </c>
      <c r="E24" s="3">
        <v>33.241050000000001</v>
      </c>
      <c r="F24" s="3">
        <v>16.733249999999998</v>
      </c>
      <c r="G24" s="3">
        <v>28.722249999999999</v>
      </c>
      <c r="H24" s="3">
        <v>99.721217669947364</v>
      </c>
      <c r="I24" s="3">
        <v>61.612115663385978</v>
      </c>
      <c r="J24" s="6">
        <v>1.0444351471991633E-3</v>
      </c>
    </row>
    <row r="25" spans="1:10">
      <c r="A25" s="5">
        <v>24</v>
      </c>
      <c r="B25" s="3">
        <v>647</v>
      </c>
      <c r="C25" s="3">
        <v>651.40415140415143</v>
      </c>
      <c r="D25" s="3">
        <v>4.4041514041514001</v>
      </c>
      <c r="E25" s="3">
        <v>31.991199999999999</v>
      </c>
      <c r="F25" s="3">
        <v>16.274999999999999</v>
      </c>
      <c r="G25" s="3">
        <v>27.539000000000001</v>
      </c>
      <c r="H25" s="3">
        <v>99.721217669947364</v>
      </c>
      <c r="I25" s="3">
        <v>76.356145571068893</v>
      </c>
      <c r="J25" s="6">
        <v>3.6765051280043823E-3</v>
      </c>
    </row>
    <row r="26" spans="1:10">
      <c r="A26" s="5">
        <v>25</v>
      </c>
      <c r="B26" s="3">
        <v>594</v>
      </c>
      <c r="C26" s="3">
        <v>597.68009768009767</v>
      </c>
      <c r="D26" s="3">
        <v>3.6800976800976999</v>
      </c>
      <c r="E26" s="3">
        <v>35.70825</v>
      </c>
      <c r="F26" s="3">
        <v>14.91595</v>
      </c>
      <c r="G26" s="3">
        <v>32.442900000000002</v>
      </c>
      <c r="H26" s="3">
        <v>99.721217669947364</v>
      </c>
      <c r="I26" s="3">
        <v>69.089036392767227</v>
      </c>
      <c r="J26" s="6">
        <v>2.0034451449760963E-2</v>
      </c>
    </row>
    <row r="27" spans="1:10">
      <c r="A27" s="5">
        <v>26</v>
      </c>
      <c r="B27" s="3">
        <v>713</v>
      </c>
      <c r="C27" s="3">
        <v>717.33821733821731</v>
      </c>
      <c r="D27" s="3">
        <v>4.3382173382172997</v>
      </c>
      <c r="E27" s="3">
        <v>34.984000000000002</v>
      </c>
      <c r="F27" s="3">
        <v>16.011299999999999</v>
      </c>
      <c r="G27" s="3">
        <v>31.102499999999999</v>
      </c>
      <c r="H27" s="3">
        <v>99.718242160677505</v>
      </c>
      <c r="I27" s="3">
        <v>85.801480125123973</v>
      </c>
      <c r="J27" s="6">
        <v>5.5493132151621096E-3</v>
      </c>
    </row>
    <row r="28" spans="1:10">
      <c r="A28" s="5">
        <v>27</v>
      </c>
      <c r="B28" s="3">
        <v>674</v>
      </c>
      <c r="C28" s="3">
        <v>678.87667887667885</v>
      </c>
      <c r="D28" s="3">
        <v>4.8766788766789002</v>
      </c>
      <c r="E28" s="3">
        <v>33.1873</v>
      </c>
      <c r="F28" s="3">
        <v>16.353000000000002</v>
      </c>
      <c r="G28" s="3">
        <v>28.878599999999999</v>
      </c>
      <c r="H28" s="3">
        <v>99.721217669947364</v>
      </c>
      <c r="I28" s="3">
        <v>80.64011596856642</v>
      </c>
      <c r="J28" s="6">
        <v>5.9476138523793807E-3</v>
      </c>
    </row>
    <row r="29" spans="1:10">
      <c r="A29" s="5">
        <v>28</v>
      </c>
      <c r="B29" s="3">
        <v>728</v>
      </c>
      <c r="C29" s="3">
        <v>732.60073260073261</v>
      </c>
      <c r="D29" s="3">
        <v>4.6007326007326004</v>
      </c>
      <c r="E29" s="3">
        <v>35.856250000000003</v>
      </c>
      <c r="F29" s="3">
        <v>15.82685</v>
      </c>
      <c r="G29" s="3">
        <v>32.174199999999999</v>
      </c>
      <c r="H29" s="3">
        <v>99.721217669947364</v>
      </c>
      <c r="I29" s="3">
        <v>88.296330205233843</v>
      </c>
      <c r="J29" s="6">
        <v>1.4526219390578582E-2</v>
      </c>
    </row>
    <row r="30" spans="1:10">
      <c r="A30" s="5">
        <v>29</v>
      </c>
      <c r="B30" s="3">
        <v>631</v>
      </c>
      <c r="C30" s="3">
        <v>635.53113553113553</v>
      </c>
      <c r="D30" s="3">
        <v>4.5311355311354999</v>
      </c>
      <c r="E30" s="3">
        <v>31.40455</v>
      </c>
      <c r="F30" s="3">
        <v>16.454099999999997</v>
      </c>
      <c r="G30" s="3">
        <v>26.74475</v>
      </c>
      <c r="H30" s="3">
        <v>99.721217669947364</v>
      </c>
      <c r="I30" s="3">
        <v>74.769207293812471</v>
      </c>
      <c r="J30" s="6">
        <v>4.4270899686598911E-4</v>
      </c>
    </row>
    <row r="31" spans="1:10">
      <c r="A31" s="10">
        <v>30</v>
      </c>
      <c r="B31" s="11">
        <v>662</v>
      </c>
      <c r="C31" s="11">
        <v>666.66666666666663</v>
      </c>
      <c r="D31" s="11">
        <v>4.6666666666666003</v>
      </c>
      <c r="E31" s="11">
        <v>32.806899999999999</v>
      </c>
      <c r="F31" s="11">
        <v>16.7179</v>
      </c>
      <c r="G31" s="11">
        <v>28.227550000000001</v>
      </c>
      <c r="H31" s="11">
        <v>99.721217669947364</v>
      </c>
      <c r="I31" s="11">
        <v>79.140917067215995</v>
      </c>
      <c r="J31" s="12">
        <v>1.4441984913283554E-2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3C6E-AEB7-426A-A86A-AE8E8A21EF37}">
  <dimension ref="A1:P8"/>
  <sheetViews>
    <sheetView workbookViewId="0"/>
  </sheetViews>
  <sheetFormatPr defaultRowHeight="13.9"/>
  <cols>
    <col min="1" max="2" width="15.59765625" customWidth="1"/>
    <col min="4" max="4" width="13.59765625" customWidth="1"/>
    <col min="5" max="5" width="55.59765625" customWidth="1"/>
  </cols>
  <sheetData>
    <row r="1" spans="1:16" ht="25.5">
      <c r="A1" s="19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3" spans="1:16">
      <c r="A3" s="2" t="s">
        <v>32</v>
      </c>
      <c r="B3" s="2" t="s">
        <v>33</v>
      </c>
      <c r="D3" s="2" t="s">
        <v>34</v>
      </c>
      <c r="E3" s="2"/>
    </row>
    <row r="4" spans="1:16">
      <c r="A4" s="1" t="s">
        <v>35</v>
      </c>
      <c r="B4" s="1">
        <f>COUNTA(有效原始数据!A2:A31)</f>
        <v>30</v>
      </c>
      <c r="D4" s="1" t="s">
        <v>40</v>
      </c>
      <c r="E4" s="21" t="s">
        <v>41</v>
      </c>
    </row>
    <row r="5" spans="1:16">
      <c r="A5" s="1" t="s">
        <v>36</v>
      </c>
      <c r="B5" s="3">
        <f>INDEX(有效原始数据!B2:B31,MATCH(MIN(有效原始数据!E2:E31),有效原始数据!E2:E31,0))</f>
        <v>542</v>
      </c>
      <c r="D5" s="1" t="s">
        <v>42</v>
      </c>
      <c r="E5" s="21" t="s">
        <v>43</v>
      </c>
    </row>
    <row r="6" spans="1:16">
      <c r="A6" s="1" t="s">
        <v>37</v>
      </c>
      <c r="B6" s="3">
        <f>MIN(有效原始数据!E2:E31)</f>
        <v>29.40005</v>
      </c>
    </row>
    <row r="7" spans="1:16">
      <c r="A7" s="1" t="s">
        <v>38</v>
      </c>
      <c r="B7" s="3">
        <f>CORREL(有效原始数据!B2:B31,有效原始数据!E2:E31)</f>
        <v>0.17230035171911701</v>
      </c>
    </row>
    <row r="8" spans="1:16">
      <c r="A8" s="1" t="s">
        <v>39</v>
      </c>
      <c r="B8" s="3">
        <f>RSQ(有效原始数据!E2:E31,有效原始数据!B2:B31)</f>
        <v>2.9687411202531416E-2</v>
      </c>
    </row>
  </sheetData>
  <mergeCells count="1">
    <mergeCell ref="A1:P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弃用候选</vt:lpstr>
      <vt:lpstr>Uc分段统计</vt:lpstr>
      <vt:lpstr>Score排序</vt:lpstr>
      <vt:lpstr>有效原始数据</vt:lpstr>
      <vt:lpstr>Uc-score关系图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凌</dc:creator>
  <cp:lastModifiedBy>瑞 凌</cp:lastModifiedBy>
  <dcterms:created xsi:type="dcterms:W3CDTF">2026-07-30T06:02:12Z</dcterms:created>
  <dcterms:modified xsi:type="dcterms:W3CDTF">2026-07-30T06:02:15Z</dcterms:modified>
</cp:coreProperties>
</file>