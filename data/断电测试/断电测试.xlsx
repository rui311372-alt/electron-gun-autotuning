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5429\Desktop\新建文件夹\实验数据\断电测试\"/>
    </mc:Choice>
  </mc:AlternateContent>
  <bookViews>
    <workbookView windowWidth="23400" windowHeight="11655"/>
  </bookViews>
  <sheets>
    <sheet name="重复Uc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<sst xmlns="http://schemas.openxmlformats.org/spreadsheetml/2006/main" count="23" uniqueCount="21">
  <si>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高Uc稳定性测试：5个重复Uc按日期汇总</t>
  </si>
  <si>
    <t>四个日期共同出现的 Uc 设定值：650、689、708、735、750 V；共提取 20 条记录。</t>
  </si>
  <si>
    <t>综合score（跨日期）</t>
  </si>
  <si>
    <t>Uc实测值（V）</t>
  </si>
  <si>
    <t>Uc设定（V）</t>
  </si>
  <si>
    <t>提取明细（按日期、Uc设定值排序）</t>
  </si>
  <si>
    <t>日期</t>
  </si>
  <si>
    <t>Ua设定（kV）</t>
  </si>
  <si>
    <t>Ia设定（μA）</t>
  </si>
  <si>
    <t>Bias设定（V）</t>
  </si>
  <si>
    <t>Fil设定（A）</t>
  </si>
  <si>
    <t>Ua实测（kV）</t>
  </si>
  <si>
    <t>Ia实测（μA）</t>
  </si>
  <si>
    <t>Uc实测（V）</t>
  </si>
  <si>
    <t>Bias实测（V）</t>
  </si>
  <si>
    <t>Fil实测（A）</t>
  </si>
  <si>
    <t>综合score</t>
  </si>
  <si>
    <t>第1次score</t>
  </si>
  <si>
    <t>第2次score</t>
  </si>
  <si>
    <t>第3次score</t>
  </si>
  <si>
    <t>三次相对差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</si>
</sst>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  <numFmt numFmtId="178" formatCode="0.000"/>
    <numFmt numFmtId="179" formatCode="0.000%"/>
    <numFmt numFmtId="180" formatCode="0.000_ "/>
  </numFmts>
  <fonts count="26">
    <font>
      <sz val="11"/>
      <name val="Carlito"/>
      <charset val="134"/>
    </font>
    <font>
      <sz val="10"/>
      <color rgb="FF000000"/>
      <name val="Microsoft YaHei"/>
      <charset val="134"/>
    </font>
    <font>
      <b/>
      <sz val="13"/>
      <color rgb="FF000000"/>
      <name val="Microsoft YaHei"/>
      <charset val="134"/>
    </font>
    <font>
      <i/>
      <sz val="9"/>
      <color rgb="FF404040"/>
      <name val="Microsoft YaHei"/>
      <charset val="134"/>
    </font>
    <font>
      <b/>
      <sz val="10"/>
      <color rgb="FF000000"/>
      <name val="Microsoft YaHei"/>
      <charset val="134"/>
    </font>
    <font>
      <b/>
      <sz val="9"/>
      <color rgb="FF000000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medium">
        <color rgb="FF4472C4"/>
      </bottom>
      <diagonal/>
    </border>
    <border>
      <left/>
      <right/>
      <top/>
      <bottom style="thin">
        <color rgb="FFB7C9D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A6A6A6"/>
      </bottom>
      <diagonal/>
    </border>
    <border>
      <left/>
      <right/>
      <top style="medium">
        <color rgb="FF4472C4"/>
      </top>
      <bottom style="thin">
        <color rgb="FFE7E6E6"/>
      </bottom>
      <diagonal/>
    </border>
    <border>
      <left style="thin">
        <color rgb="FFB7C9D6"/>
      </left>
      <right style="thin">
        <color rgb="FFB7C9D6"/>
      </right>
      <top style="medium">
        <color rgb="FF4472C4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B7C9D6"/>
      </left>
      <right style="thin">
        <color rgb="FFB7C9D6"/>
      </right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vertical="center"/>
    </xf>
    <xf numFmtId="0" fontId="4" fillId="2" borderId="3" xfId="0" applyNumberFormat="1" applyFont="1" applyFill="1" applyBorder="1" applyAlignment="1">
      <alignment vertical="center"/>
    </xf>
    <xf numFmtId="0" fontId="4" fillId="3" borderId="4" xfId="0" applyNumberFormat="1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1" fontId="4" fillId="2" borderId="5" xfId="0" applyNumberFormat="1" applyFont="1" applyFill="1" applyBorder="1" applyAlignment="1">
      <alignment vertical="center"/>
    </xf>
    <xf numFmtId="177" fontId="1" fillId="2" borderId="5" xfId="0" applyNumberFormat="1" applyFont="1" applyFill="1" applyBorder="1" applyAlignment="1">
      <alignment vertical="center"/>
    </xf>
    <xf numFmtId="178" fontId="1" fillId="2" borderId="5" xfId="0" applyNumberFormat="1" applyFont="1" applyFill="1" applyBorder="1" applyAlignment="1">
      <alignment vertical="center"/>
    </xf>
    <xf numFmtId="0" fontId="4" fillId="2" borderId="6" xfId="0" applyNumberFormat="1" applyFont="1" applyFill="1" applyBorder="1" applyAlignment="1">
      <alignment vertical="center"/>
    </xf>
    <xf numFmtId="0" fontId="1" fillId="2" borderId="6" xfId="0" applyNumberFormat="1" applyFont="1" applyFill="1" applyBorder="1" applyAlignment="1">
      <alignment vertical="center"/>
    </xf>
    <xf numFmtId="176" fontId="5" fillId="2" borderId="7" xfId="0" applyNumberFormat="1" applyFont="1" applyFill="1" applyBorder="1" applyAlignment="1">
      <alignment vertical="center"/>
    </xf>
    <xf numFmtId="178" fontId="6" fillId="2" borderId="7" xfId="0" applyNumberFormat="1" applyFont="1" applyFill="1" applyBorder="1" applyAlignment="1">
      <alignment vertical="center"/>
    </xf>
    <xf numFmtId="178" fontId="6" fillId="2" borderId="8" xfId="0" applyNumberFormat="1" applyFont="1" applyFill="1" applyBorder="1" applyAlignment="1">
      <alignment vertical="center"/>
    </xf>
    <xf numFmtId="177" fontId="6" fillId="2" borderId="7" xfId="0" applyNumberFormat="1" applyFont="1" applyFill="1" applyBorder="1" applyAlignment="1">
      <alignment vertical="center"/>
    </xf>
    <xf numFmtId="179" fontId="6" fillId="2" borderId="7" xfId="0" applyNumberFormat="1" applyFont="1" applyFill="1" applyBorder="1" applyAlignment="1">
      <alignment vertical="center"/>
    </xf>
    <xf numFmtId="176" fontId="5" fillId="2" borderId="9" xfId="0" applyNumberFormat="1" applyFont="1" applyFill="1" applyBorder="1" applyAlignment="1">
      <alignment vertical="center"/>
    </xf>
    <xf numFmtId="178" fontId="6" fillId="2" borderId="9" xfId="0" applyNumberFormat="1" applyFont="1" applyFill="1" applyBorder="1" applyAlignment="1">
      <alignment vertical="center"/>
    </xf>
    <xf numFmtId="177" fontId="6" fillId="2" borderId="9" xfId="0" applyNumberFormat="1" applyFont="1" applyFill="1" applyBorder="1" applyAlignment="1">
      <alignment vertical="center"/>
    </xf>
    <xf numFmtId="179" fontId="6" fillId="2" borderId="9" xfId="0" applyNumberFormat="1" applyFont="1" applyFill="1" applyBorder="1" applyAlignment="1">
      <alignment vertical="center"/>
    </xf>
    <xf numFmtId="178" fontId="6" fillId="2" borderId="10" xfId="0" applyNumberFormat="1" applyFont="1" applyFill="1" applyBorder="1" applyAlignment="1">
      <alignment vertical="center"/>
    </xf>
    <xf numFmtId="180" fontId="7" fillId="0" borderId="0" xfId="0" applyNumberFormat="1">
      <alignment vertical="center"/>
    </xf>
    <xf numFmtId="176" fontId="5" fillId="2" borderId="11" xfId="0" applyNumberFormat="1" applyFont="1" applyFill="1" applyBorder="1" applyAlignment="1">
      <alignment vertical="center"/>
    </xf>
    <xf numFmtId="178" fontId="6" fillId="2" borderId="11" xfId="0" applyNumberFormat="1" applyFont="1" applyFill="1" applyBorder="1" applyAlignment="1">
      <alignment vertical="center"/>
    </xf>
    <xf numFmtId="177" fontId="6" fillId="2" borderId="11" xfId="0" applyNumberFormat="1" applyFont="1" applyFill="1" applyBorder="1" applyAlignment="1">
      <alignment vertical="center"/>
    </xf>
    <xf numFmtId="179" fontId="6" fillId="2" borderId="11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tractedUcTable" displayName="ExtractedUcTable" ref="A14:P34" totalsRowShown="0">
  <autoFilter xmlns:etc="http://www.wps.cn/officeDocument/2017/etCustomData" ref="A14:P34" etc:filterBottomFollowUsedRange="0"/>
  <tableColumns count="16">
    <tableColumn id="1" name="日期"/>
    <tableColumn id="2" name="Ua设定（kV）"/>
    <tableColumn id="3" name="Ia设定（μA）"/>
    <tableColumn id="4" name="Uc设定（V）"/>
    <tableColumn id="5" name="Bias设定（V）"/>
    <tableColumn id="6" name="Fil设定（A）"/>
    <tableColumn id="7" name="Ua实测（kV）"/>
    <tableColumn id="8" name="Ia实测（μA）"/>
    <tableColumn id="9" name="Uc实测（V）"/>
    <tableColumn id="10" name="Bias实测（V）"/>
    <tableColumn id="11" name="Fil实测（A）"/>
    <tableColumn id="14" name="综合score"/>
    <tableColumn id="15" name="第1次score"/>
    <tableColumn id="16" name="第2次score"/>
    <tableColumn id="17" name="第3次score"/>
    <tableColumn id="18" name="三次相对差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U34"/>
  <sheetViews>
    <sheetView tabSelected="1" workbookViewId="0">
      <pane xSplit="4" ySplit="14" topLeftCell="E15" activePane="bottomRight" state="frozen"/>
      <selection/>
      <selection pane="topRight"/>
      <selection pane="bottomLeft"/>
      <selection pane="bottomRight" activeCell="D22" sqref="D22"/>
    </sheetView>
  </sheetViews>
  <sheetFormatPr defaultColWidth="9" defaultRowHeight="13.5"/>
  <cols>
    <col min="1" max="11" width="13" customWidth="1"/>
    <col min="12" max="18" width="12" customWidth="1"/>
    <col min="19" max="19" width="9" customWidth="1"/>
    <col min="20" max="20" width="14" customWidth="1"/>
    <col min="21" max="21" width="34" customWidth="1"/>
  </cols>
  <sheetData>
    <row r="1" ht="13.85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" customHeight="1" spans="1:2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4"/>
      <c r="U2" s="4"/>
    </row>
    <row r="3" ht="20" customHeight="1" spans="1:21">
      <c r="A3" s="5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6"/>
      <c r="T3" s="6"/>
      <c r="U3" s="6"/>
    </row>
    <row r="4" ht="13.85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"/>
      <c r="T4" s="6"/>
      <c r="U4" s="6"/>
    </row>
    <row r="5" ht="14.6" spans="1:21">
      <c r="A5" s="7" t="s">
        <v>2</v>
      </c>
      <c r="B5" s="1"/>
      <c r="C5" s="1"/>
      <c r="D5" s="1"/>
      <c r="E5" s="1"/>
      <c r="F5" s="1"/>
      <c r="G5" s="7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"/>
      <c r="T5" s="6"/>
      <c r="U5" s="6"/>
    </row>
    <row r="6" ht="24" customHeight="1" spans="1:21">
      <c r="A6" s="8" t="s">
        <v>4</v>
      </c>
      <c r="B6" s="9">
        <v>46217</v>
      </c>
      <c r="C6" s="9">
        <v>46224</v>
      </c>
      <c r="D6" s="9">
        <v>46231</v>
      </c>
      <c r="E6" s="9">
        <v>46238</v>
      </c>
      <c r="F6" s="1"/>
      <c r="G6" s="8" t="s">
        <v>4</v>
      </c>
      <c r="H6" s="9">
        <v>46217</v>
      </c>
      <c r="I6" s="9">
        <v>46224</v>
      </c>
      <c r="J6" s="9">
        <v>46231</v>
      </c>
      <c r="K6" s="9">
        <v>46238</v>
      </c>
      <c r="L6" s="1"/>
      <c r="M6" s="1"/>
      <c r="N6" s="1"/>
      <c r="O6" s="1"/>
      <c r="P6" s="1"/>
      <c r="Q6" s="1"/>
      <c r="R6" s="1"/>
      <c r="S6" s="6"/>
      <c r="T6" s="6"/>
      <c r="U6" s="6"/>
    </row>
    <row r="7" ht="14.6" spans="1:21">
      <c r="A7" s="10">
        <v>650</v>
      </c>
      <c r="B7" s="11">
        <f>$L$15</f>
        <v>33.5920666666667</v>
      </c>
      <c r="C7" s="11">
        <f>$L$20</f>
        <v>34.2266</v>
      </c>
      <c r="D7" s="11">
        <f>$L$25</f>
        <v>33.6694</v>
      </c>
      <c r="E7" s="11">
        <f>$L$30</f>
        <v>34.0701</v>
      </c>
      <c r="F7" s="1"/>
      <c r="G7" s="10">
        <v>650</v>
      </c>
      <c r="H7" s="12">
        <v>652.356</v>
      </c>
      <c r="I7" s="12">
        <v>652.356</v>
      </c>
      <c r="J7" s="12">
        <v>653.356</v>
      </c>
      <c r="K7" s="12">
        <v>652.356</v>
      </c>
      <c r="L7" s="1"/>
      <c r="M7" s="1"/>
      <c r="N7" s="1"/>
      <c r="O7" s="1"/>
      <c r="P7" s="1"/>
      <c r="Q7" s="1"/>
      <c r="R7" s="1"/>
      <c r="S7" s="6"/>
      <c r="T7" s="6"/>
      <c r="U7" s="6"/>
    </row>
    <row r="8" ht="14.6" spans="1:21">
      <c r="A8" s="10">
        <v>689</v>
      </c>
      <c r="B8" s="11">
        <f>$L$16</f>
        <v>34.6866666666667</v>
      </c>
      <c r="C8" s="11">
        <f>$L$21</f>
        <v>34.8946333333333</v>
      </c>
      <c r="D8" s="11">
        <f>$L$26</f>
        <v>34.7874666666667</v>
      </c>
      <c r="E8" s="11">
        <f>$L$31</f>
        <v>35.2629</v>
      </c>
      <c r="F8" s="1"/>
      <c r="G8" s="10">
        <v>689</v>
      </c>
      <c r="H8" s="12">
        <v>692.765</v>
      </c>
      <c r="I8" s="12">
        <v>692.765</v>
      </c>
      <c r="J8" s="12">
        <v>692.765</v>
      </c>
      <c r="K8" s="12">
        <v>692.765</v>
      </c>
      <c r="L8" s="1"/>
      <c r="M8" s="1"/>
      <c r="N8" s="1"/>
      <c r="O8" s="1"/>
      <c r="P8" s="1"/>
      <c r="Q8" s="1"/>
      <c r="R8" s="1"/>
      <c r="S8" s="6"/>
      <c r="T8" s="6"/>
      <c r="U8" s="6"/>
    </row>
    <row r="9" ht="14.6" spans="1:21">
      <c r="A9" s="10">
        <v>708</v>
      </c>
      <c r="B9" s="11">
        <f>$L$17</f>
        <v>35.9848666666667</v>
      </c>
      <c r="C9" s="11">
        <f>$L$22</f>
        <v>36.3446</v>
      </c>
      <c r="D9" s="11">
        <f>$L$27</f>
        <v>35.9371333333333</v>
      </c>
      <c r="E9" s="11">
        <f>$L$32</f>
        <v>35.7190333333333</v>
      </c>
      <c r="F9" s="1"/>
      <c r="G9" s="10">
        <v>708</v>
      </c>
      <c r="H9" s="12">
        <v>712.689</v>
      </c>
      <c r="I9" s="12">
        <v>712.689</v>
      </c>
      <c r="J9" s="12">
        <v>712.689</v>
      </c>
      <c r="K9" s="12">
        <v>712.689</v>
      </c>
      <c r="L9" s="1"/>
      <c r="M9" s="1"/>
      <c r="N9" s="1"/>
      <c r="O9" s="1"/>
      <c r="P9" s="1"/>
      <c r="Q9" s="1"/>
      <c r="R9" s="1"/>
      <c r="S9" s="6"/>
      <c r="T9" s="6"/>
      <c r="U9" s="6"/>
    </row>
    <row r="10" ht="14.6" spans="1:21">
      <c r="A10" s="10">
        <v>735</v>
      </c>
      <c r="B10" s="11">
        <f>$L$18</f>
        <v>35.3350666666667</v>
      </c>
      <c r="C10" s="11">
        <f>$L$23</f>
        <v>35.8952333333333</v>
      </c>
      <c r="D10" s="11">
        <f>$L$28</f>
        <v>35.4914666666667</v>
      </c>
      <c r="E10" s="11">
        <f>$L$33</f>
        <v>36.038</v>
      </c>
      <c r="F10" s="1"/>
      <c r="G10" s="10">
        <v>735</v>
      </c>
      <c r="H10" s="12">
        <f>$I$18</f>
        <v>739.532</v>
      </c>
      <c r="I10" s="12">
        <f>$I$23</f>
        <v>739.532</v>
      </c>
      <c r="J10" s="12">
        <f>$I$28</f>
        <v>739.532</v>
      </c>
      <c r="K10" s="12">
        <f>$I$33</f>
        <v>739.532</v>
      </c>
      <c r="L10" s="1"/>
      <c r="M10" s="1"/>
      <c r="N10" s="1"/>
      <c r="O10" s="1"/>
      <c r="P10" s="1"/>
      <c r="Q10" s="1"/>
      <c r="R10" s="1"/>
      <c r="S10" s="6"/>
      <c r="T10" s="6"/>
      <c r="U10" s="6"/>
    </row>
    <row r="11" ht="14.6" spans="1:21">
      <c r="A11" s="10">
        <v>750</v>
      </c>
      <c r="B11" s="11">
        <f>$L$19</f>
        <v>35.9272333333333</v>
      </c>
      <c r="C11" s="11">
        <f>$L$24</f>
        <v>35.1724</v>
      </c>
      <c r="D11" s="11">
        <f>$L$29</f>
        <v>35.0832</v>
      </c>
      <c r="E11" s="11">
        <f>$L$34</f>
        <v>36.0272666666667</v>
      </c>
      <c r="F11" s="1"/>
      <c r="G11" s="10">
        <v>750</v>
      </c>
      <c r="H11" s="12">
        <f>$I$19</f>
        <v>754.578754578755</v>
      </c>
      <c r="I11" s="12">
        <f>$I$24</f>
        <v>754.578754578755</v>
      </c>
      <c r="J11" s="12">
        <f>$I$29</f>
        <v>754.578754578755</v>
      </c>
      <c r="K11" s="12">
        <f>$I$34</f>
        <v>754.578754578755</v>
      </c>
      <c r="L11" s="1"/>
      <c r="M11" s="1"/>
      <c r="N11" s="1"/>
      <c r="O11" s="1"/>
      <c r="P11" s="1"/>
      <c r="Q11" s="1"/>
      <c r="R11" s="1"/>
      <c r="S11" s="6"/>
      <c r="T11" s="6"/>
      <c r="U11" s="6"/>
    </row>
    <row r="12" ht="13.85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"/>
      <c r="T12" s="6"/>
      <c r="U12" s="6"/>
    </row>
    <row r="13" ht="14.6" spans="1:21">
      <c r="A13" s="13" t="s">
        <v>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6"/>
      <c r="T13" s="6"/>
      <c r="U13" s="6"/>
    </row>
    <row r="14" ht="32" customHeight="1" spans="1:21">
      <c r="A14" s="8" t="s">
        <v>6</v>
      </c>
      <c r="B14" s="8" t="s">
        <v>7</v>
      </c>
      <c r="C14" s="8" t="s">
        <v>8</v>
      </c>
      <c r="D14" s="8" t="s">
        <v>4</v>
      </c>
      <c r="E14" s="8" t="s">
        <v>9</v>
      </c>
      <c r="F14" s="8" t="s">
        <v>10</v>
      </c>
      <c r="G14" s="8" t="s">
        <v>11</v>
      </c>
      <c r="H14" s="8" t="s">
        <v>12</v>
      </c>
      <c r="I14" s="8" t="s">
        <v>13</v>
      </c>
      <c r="J14" s="8" t="s">
        <v>14</v>
      </c>
      <c r="K14" s="8" t="s">
        <v>15</v>
      </c>
      <c r="L14" s="8" t="s">
        <v>16</v>
      </c>
      <c r="M14" s="8" t="s">
        <v>17</v>
      </c>
      <c r="N14" s="8" t="s">
        <v>18</v>
      </c>
      <c r="O14" s="8" t="s">
        <v>19</v>
      </c>
      <c r="P14" s="8" t="s">
        <v>20</v>
      </c>
    </row>
    <row r="15" ht="20" customHeight="1" spans="1:21">
      <c r="A15" s="15">
        <v>46217</v>
      </c>
      <c r="B15" s="16">
        <v>100</v>
      </c>
      <c r="C15" s="16">
        <v>80</v>
      </c>
      <c r="D15" s="16">
        <v>650</v>
      </c>
      <c r="E15" s="16">
        <v>200</v>
      </c>
      <c r="F15" s="16">
        <v>0.45</v>
      </c>
      <c r="G15" s="16">
        <v>99.7212176699474</v>
      </c>
      <c r="H15" s="16">
        <v>80.5504692149233</v>
      </c>
      <c r="I15" s="17">
        <v>652.356</v>
      </c>
      <c r="J15" s="16">
        <v>80.6401159685664</v>
      </c>
      <c r="K15" s="16">
        <v>0.45190547035935</v>
      </c>
      <c r="L15" s="18">
        <f t="shared" ref="L15:L34" si="0">AVERAGE(M15:O15)</f>
        <v>33.5920666666667</v>
      </c>
      <c r="M15" s="18">
        <v>33.2857</v>
      </c>
      <c r="N15" s="18">
        <v>33.0889</v>
      </c>
      <c r="O15" s="18">
        <v>34.4016</v>
      </c>
      <c r="P15" s="19">
        <f t="shared" ref="P15:P34" si="1">(MAX(M15:O15)-MIN(M15:O15))/MIN(M15:O15)</f>
        <v>0.0396719141464358</v>
      </c>
    </row>
    <row r="16" ht="20" customHeight="1" spans="1:21">
      <c r="A16" s="20">
        <v>46217</v>
      </c>
      <c r="B16" s="21">
        <v>100</v>
      </c>
      <c r="C16" s="21">
        <v>80</v>
      </c>
      <c r="D16" s="21">
        <v>689</v>
      </c>
      <c r="E16" s="21">
        <v>200</v>
      </c>
      <c r="F16" s="21">
        <v>0.45</v>
      </c>
      <c r="G16" s="21">
        <v>99.7212176699474</v>
      </c>
      <c r="H16" s="21">
        <v>80.5447470817121</v>
      </c>
      <c r="I16" s="21">
        <v>692.765</v>
      </c>
      <c r="J16" s="21">
        <v>84.5731288624399</v>
      </c>
      <c r="K16" s="21">
        <v>0.45190547035935</v>
      </c>
      <c r="L16" s="22">
        <f t="shared" si="0"/>
        <v>34.6866666666667</v>
      </c>
      <c r="M16" s="22">
        <v>34.653</v>
      </c>
      <c r="N16" s="22">
        <v>34.643</v>
      </c>
      <c r="O16" s="22">
        <v>34.764</v>
      </c>
      <c r="P16" s="23">
        <f t="shared" si="1"/>
        <v>0.00349276910198315</v>
      </c>
    </row>
    <row r="17" ht="20" customHeight="1" spans="1:16">
      <c r="A17" s="20">
        <v>46217</v>
      </c>
      <c r="B17" s="21">
        <v>100</v>
      </c>
      <c r="C17" s="21">
        <v>80</v>
      </c>
      <c r="D17" s="21">
        <v>708</v>
      </c>
      <c r="E17" s="21">
        <v>200</v>
      </c>
      <c r="F17" s="21">
        <v>0.45</v>
      </c>
      <c r="G17" s="21">
        <v>99.7212176699474</v>
      </c>
      <c r="H17" s="21">
        <v>80.4760814831769</v>
      </c>
      <c r="I17" s="21">
        <v>712.689</v>
      </c>
      <c r="J17" s="21">
        <v>88.2963302052338</v>
      </c>
      <c r="K17" s="21">
        <v>0.45190547035935</v>
      </c>
      <c r="L17" s="22">
        <f t="shared" si="0"/>
        <v>35.9848666666667</v>
      </c>
      <c r="M17" s="22">
        <v>35.867</v>
      </c>
      <c r="N17" s="22">
        <v>36.1403</v>
      </c>
      <c r="O17" s="22">
        <v>35.9473</v>
      </c>
      <c r="P17" s="23">
        <f t="shared" si="1"/>
        <v>0.00761981765968735</v>
      </c>
    </row>
    <row r="18" ht="20" customHeight="1" spans="1:16">
      <c r="A18" s="20">
        <v>46217</v>
      </c>
      <c r="B18" s="21">
        <v>100</v>
      </c>
      <c r="C18" s="21">
        <v>80</v>
      </c>
      <c r="D18" s="21">
        <v>735</v>
      </c>
      <c r="E18" s="21">
        <v>200</v>
      </c>
      <c r="F18" s="21">
        <v>0.45</v>
      </c>
      <c r="G18" s="21">
        <v>99.7212176699474</v>
      </c>
      <c r="H18" s="21">
        <v>80.5848020141909</v>
      </c>
      <c r="I18" s="21">
        <v>739.532</v>
      </c>
      <c r="J18" s="21">
        <v>88.5442893110552</v>
      </c>
      <c r="K18" s="21">
        <v>0.45190547035935</v>
      </c>
      <c r="L18" s="22">
        <f t="shared" si="0"/>
        <v>35.3350666666667</v>
      </c>
      <c r="M18" s="22">
        <v>35.6902</v>
      </c>
      <c r="N18" s="22">
        <v>35.122</v>
      </c>
      <c r="O18" s="22">
        <v>35.193</v>
      </c>
      <c r="P18" s="23">
        <f t="shared" si="1"/>
        <v>0.0161778941973691</v>
      </c>
    </row>
    <row r="19" ht="20" customHeight="1" spans="1:16">
      <c r="A19" s="20">
        <v>46217</v>
      </c>
      <c r="B19" s="21">
        <v>100</v>
      </c>
      <c r="C19" s="21">
        <v>80</v>
      </c>
      <c r="D19" s="21">
        <v>750</v>
      </c>
      <c r="E19" s="21">
        <v>200</v>
      </c>
      <c r="F19" s="21">
        <v>0.45</v>
      </c>
      <c r="G19" s="21">
        <v>99.7241931792172</v>
      </c>
      <c r="H19" s="21">
        <v>80.521858548867</v>
      </c>
      <c r="I19" s="21">
        <v>754.578754578755</v>
      </c>
      <c r="J19" s="21">
        <v>90.7454032196536</v>
      </c>
      <c r="K19" s="21">
        <v>0.45190547035935</v>
      </c>
      <c r="L19" s="22">
        <f t="shared" si="0"/>
        <v>35.9272333333333</v>
      </c>
      <c r="M19" s="22">
        <v>35.8392</v>
      </c>
      <c r="N19" s="22">
        <v>36.1096</v>
      </c>
      <c r="O19" s="22">
        <v>35.8329</v>
      </c>
      <c r="P19" s="23">
        <f t="shared" si="1"/>
        <v>0.00772195384688368</v>
      </c>
    </row>
    <row r="20" ht="20" customHeight="1" spans="1:16">
      <c r="A20" s="20">
        <v>46224</v>
      </c>
      <c r="B20" s="21">
        <v>100</v>
      </c>
      <c r="C20" s="21">
        <v>80</v>
      </c>
      <c r="D20" s="21">
        <v>650</v>
      </c>
      <c r="E20" s="21">
        <v>200</v>
      </c>
      <c r="F20" s="21">
        <v>0.45</v>
      </c>
      <c r="G20" s="21">
        <v>99.7212176699474</v>
      </c>
      <c r="H20" s="21">
        <v>80.5275806820783</v>
      </c>
      <c r="I20" s="24">
        <v>652.356</v>
      </c>
      <c r="J20" s="21">
        <v>84.1954680704967</v>
      </c>
      <c r="K20" s="21">
        <v>0.45190547035935</v>
      </c>
      <c r="L20" s="22">
        <f t="shared" si="0"/>
        <v>34.2266</v>
      </c>
      <c r="M20" s="22">
        <v>34.0392</v>
      </c>
      <c r="N20" s="22">
        <v>34.3203</v>
      </c>
      <c r="O20" s="22">
        <v>34.3203</v>
      </c>
      <c r="P20" s="23">
        <f t="shared" si="1"/>
        <v>0.00825812592540372</v>
      </c>
    </row>
    <row r="21" ht="20" customHeight="1" spans="1:16">
      <c r="A21" s="20">
        <v>46224</v>
      </c>
      <c r="B21" s="21">
        <v>100</v>
      </c>
      <c r="C21" s="21">
        <v>80</v>
      </c>
      <c r="D21" s="25">
        <v>689</v>
      </c>
      <c r="E21" s="21">
        <v>200</v>
      </c>
      <c r="F21" s="21">
        <v>0.45</v>
      </c>
      <c r="G21" s="21">
        <v>99.7182421606775</v>
      </c>
      <c r="H21" s="21">
        <v>80.5561913481346</v>
      </c>
      <c r="I21" s="21">
        <v>692.765</v>
      </c>
      <c r="J21" s="21">
        <v>87.9530022125582</v>
      </c>
      <c r="K21" s="21">
        <v>0.45190547035935</v>
      </c>
      <c r="L21" s="22">
        <f t="shared" si="0"/>
        <v>34.8946333333333</v>
      </c>
      <c r="M21" s="22">
        <v>34.6167</v>
      </c>
      <c r="N21" s="22">
        <v>35.1351</v>
      </c>
      <c r="O21" s="22">
        <v>34.9321</v>
      </c>
      <c r="P21" s="23">
        <f t="shared" si="1"/>
        <v>0.0149754309336245</v>
      </c>
    </row>
    <row r="22" ht="20" customHeight="1" spans="1:16">
      <c r="A22" s="20">
        <v>46224</v>
      </c>
      <c r="B22" s="21">
        <v>100</v>
      </c>
      <c r="C22" s="21">
        <v>80</v>
      </c>
      <c r="D22" s="21">
        <v>708</v>
      </c>
      <c r="E22" s="21">
        <v>200</v>
      </c>
      <c r="F22" s="21">
        <v>0.45</v>
      </c>
      <c r="G22" s="21">
        <v>99.7212176699474</v>
      </c>
      <c r="H22" s="21">
        <v>80.5104142824445</v>
      </c>
      <c r="I22" s="21">
        <v>712.689</v>
      </c>
      <c r="J22" s="21">
        <v>92.0386053253986</v>
      </c>
      <c r="K22" s="21">
        <v>0.45190547035935</v>
      </c>
      <c r="L22" s="22">
        <f t="shared" si="0"/>
        <v>36.3446</v>
      </c>
      <c r="M22" s="22">
        <v>36.492</v>
      </c>
      <c r="N22" s="22">
        <v>36.3509</v>
      </c>
      <c r="O22" s="22">
        <v>36.1909</v>
      </c>
      <c r="P22" s="23">
        <f t="shared" si="1"/>
        <v>0.00831977099215543</v>
      </c>
    </row>
    <row r="23" ht="20" customHeight="1" spans="1:16">
      <c r="A23" s="20">
        <v>46224</v>
      </c>
      <c r="B23" s="21">
        <v>100</v>
      </c>
      <c r="C23" s="21">
        <v>80</v>
      </c>
      <c r="D23" s="21">
        <v>735</v>
      </c>
      <c r="E23" s="21">
        <v>200</v>
      </c>
      <c r="F23" s="21">
        <v>0.45</v>
      </c>
      <c r="G23" s="21">
        <v>99.7182421606775</v>
      </c>
      <c r="H23" s="21">
        <v>80.5333028152895</v>
      </c>
      <c r="I23" s="21">
        <v>739.532</v>
      </c>
      <c r="J23" s="21">
        <v>91.565575646601</v>
      </c>
      <c r="K23" s="21">
        <v>0.451934081025406</v>
      </c>
      <c r="L23" s="22">
        <f t="shared" si="0"/>
        <v>35.8952333333333</v>
      </c>
      <c r="M23" s="22">
        <v>35.7572</v>
      </c>
      <c r="N23" s="22">
        <v>35.8342</v>
      </c>
      <c r="O23" s="22">
        <v>36.0943</v>
      </c>
      <c r="P23" s="23">
        <f t="shared" si="1"/>
        <v>0.00942747194970522</v>
      </c>
    </row>
    <row r="24" ht="20" customHeight="1" spans="1:16">
      <c r="A24" s="20">
        <v>46224</v>
      </c>
      <c r="B24" s="21">
        <v>100</v>
      </c>
      <c r="C24" s="21">
        <v>80</v>
      </c>
      <c r="D24" s="21">
        <v>750</v>
      </c>
      <c r="E24" s="21">
        <v>200</v>
      </c>
      <c r="F24" s="21">
        <v>0.45</v>
      </c>
      <c r="G24" s="21">
        <v>99.7212176699474</v>
      </c>
      <c r="H24" s="21">
        <v>80.5619134813458</v>
      </c>
      <c r="I24" s="21">
        <v>754.578754578755</v>
      </c>
      <c r="J24" s="21">
        <v>94.6784161135271</v>
      </c>
      <c r="K24" s="21">
        <v>0.45190547035935</v>
      </c>
      <c r="L24" s="22">
        <f t="shared" si="0"/>
        <v>35.1724</v>
      </c>
      <c r="M24" s="22">
        <v>34.9433</v>
      </c>
      <c r="N24" s="22">
        <v>35.4309</v>
      </c>
      <c r="O24" s="22">
        <v>35.143</v>
      </c>
      <c r="P24" s="23">
        <f t="shared" si="1"/>
        <v>0.0139540341066814</v>
      </c>
    </row>
    <row r="25" ht="20" customHeight="1" spans="1:16">
      <c r="A25" s="20">
        <v>46231</v>
      </c>
      <c r="B25" s="21">
        <v>100</v>
      </c>
      <c r="C25" s="21">
        <v>80</v>
      </c>
      <c r="D25" s="21">
        <v>650</v>
      </c>
      <c r="E25" s="21">
        <v>200</v>
      </c>
      <c r="F25" s="21">
        <v>0.45</v>
      </c>
      <c r="G25" s="21">
        <v>99.7212176699474</v>
      </c>
      <c r="H25" s="21">
        <v>80.5561913481346</v>
      </c>
      <c r="I25" s="24">
        <v>652.356</v>
      </c>
      <c r="J25" s="21">
        <v>80.9719996948196</v>
      </c>
      <c r="K25" s="21">
        <v>0.45190547035935</v>
      </c>
      <c r="L25" s="22">
        <f t="shared" si="0"/>
        <v>33.6694</v>
      </c>
      <c r="M25" s="22">
        <v>33.8429</v>
      </c>
      <c r="N25" s="22">
        <v>33.423</v>
      </c>
      <c r="O25" s="22">
        <v>33.7423</v>
      </c>
      <c r="P25" s="23">
        <f t="shared" si="1"/>
        <v>0.0125632049786075</v>
      </c>
    </row>
    <row r="26" ht="20" customHeight="1" spans="1:16">
      <c r="A26" s="20">
        <v>46231</v>
      </c>
      <c r="B26" s="21">
        <v>100</v>
      </c>
      <c r="C26" s="21">
        <v>80</v>
      </c>
      <c r="D26" s="25">
        <v>689</v>
      </c>
      <c r="E26" s="21">
        <v>200</v>
      </c>
      <c r="F26" s="21">
        <v>0.45</v>
      </c>
      <c r="G26" s="21">
        <v>99.7212176699474</v>
      </c>
      <c r="H26" s="21">
        <v>80.5504692149233</v>
      </c>
      <c r="I26" s="21">
        <v>692.765</v>
      </c>
      <c r="J26" s="21">
        <v>85.0804913405051</v>
      </c>
      <c r="K26" s="21">
        <v>0.45190547035935</v>
      </c>
      <c r="L26" s="22">
        <f t="shared" si="0"/>
        <v>34.7874666666667</v>
      </c>
      <c r="M26" s="22">
        <v>35.1242</v>
      </c>
      <c r="N26" s="22">
        <v>34.4323</v>
      </c>
      <c r="O26" s="22">
        <v>34.8059</v>
      </c>
      <c r="P26" s="23">
        <f t="shared" si="1"/>
        <v>0.0200945042881249</v>
      </c>
    </row>
    <row r="27" ht="20" customHeight="1" spans="1:16">
      <c r="A27" s="20">
        <v>46231</v>
      </c>
      <c r="B27" s="21">
        <v>100</v>
      </c>
      <c r="C27" s="21">
        <v>80</v>
      </c>
      <c r="D27" s="21">
        <v>708</v>
      </c>
      <c r="E27" s="21">
        <v>200</v>
      </c>
      <c r="F27" s="21">
        <v>0.45</v>
      </c>
      <c r="G27" s="21">
        <v>99.7212176699474</v>
      </c>
      <c r="H27" s="21">
        <v>80.5333028152895</v>
      </c>
      <c r="I27" s="21">
        <v>712.689</v>
      </c>
      <c r="J27" s="21">
        <v>88.4679942015717</v>
      </c>
      <c r="K27" s="21">
        <v>0.45190547035935</v>
      </c>
      <c r="L27" s="22">
        <f t="shared" si="0"/>
        <v>35.9371333333333</v>
      </c>
      <c r="M27" s="22">
        <v>36.0439</v>
      </c>
      <c r="N27" s="22">
        <v>35.8243</v>
      </c>
      <c r="O27" s="22">
        <v>35.9432</v>
      </c>
      <c r="P27" s="23">
        <f t="shared" si="1"/>
        <v>0.00612991740243354</v>
      </c>
    </row>
    <row r="28" ht="20" customHeight="1" spans="1:16">
      <c r="A28" s="20">
        <v>46231</v>
      </c>
      <c r="B28" s="21">
        <v>100</v>
      </c>
      <c r="C28" s="21">
        <v>80</v>
      </c>
      <c r="D28" s="21">
        <v>735</v>
      </c>
      <c r="E28" s="21">
        <v>200</v>
      </c>
      <c r="F28" s="21">
        <v>0.45</v>
      </c>
      <c r="G28" s="21">
        <v>99.7182421606775</v>
      </c>
      <c r="H28" s="21">
        <v>80.5275806820783</v>
      </c>
      <c r="I28" s="21">
        <v>739.532</v>
      </c>
      <c r="J28" s="21">
        <v>89.131761654078</v>
      </c>
      <c r="K28" s="21">
        <v>0.451934081025406</v>
      </c>
      <c r="L28" s="22">
        <f t="shared" si="0"/>
        <v>35.4914666666667</v>
      </c>
      <c r="M28" s="22">
        <v>35.432</v>
      </c>
      <c r="N28" s="22">
        <v>35.3402</v>
      </c>
      <c r="O28" s="22">
        <v>35.7022</v>
      </c>
      <c r="P28" s="23">
        <f t="shared" si="1"/>
        <v>0.0102432923412996</v>
      </c>
    </row>
    <row r="29" ht="20" customHeight="1" spans="1:16">
      <c r="A29" s="20">
        <v>46231</v>
      </c>
      <c r="B29" s="21">
        <v>100</v>
      </c>
      <c r="C29" s="21">
        <v>80</v>
      </c>
      <c r="D29" s="21">
        <v>750</v>
      </c>
      <c r="E29" s="21">
        <v>200</v>
      </c>
      <c r="F29" s="21">
        <v>0.45</v>
      </c>
      <c r="G29" s="21">
        <v>99.7241931792172</v>
      </c>
      <c r="H29" s="21">
        <v>80.5275806820783</v>
      </c>
      <c r="I29" s="21">
        <v>754.578754578755</v>
      </c>
      <c r="J29" s="21">
        <v>91.2680247196155</v>
      </c>
      <c r="K29" s="21">
        <v>0.451934081025406</v>
      </c>
      <c r="L29" s="22">
        <f t="shared" si="0"/>
        <v>35.0832</v>
      </c>
      <c r="M29" s="22">
        <v>34.4234</v>
      </c>
      <c r="N29" s="22">
        <v>35.4023</v>
      </c>
      <c r="O29" s="22">
        <v>35.4239</v>
      </c>
      <c r="P29" s="23">
        <f t="shared" si="1"/>
        <v>0.0290645316848424</v>
      </c>
    </row>
    <row r="30" ht="20" customHeight="1" spans="1:16">
      <c r="A30" s="20">
        <v>46238</v>
      </c>
      <c r="B30" s="21">
        <v>100</v>
      </c>
      <c r="C30" s="21">
        <v>80</v>
      </c>
      <c r="D30" s="21">
        <v>650</v>
      </c>
      <c r="E30" s="21">
        <v>200</v>
      </c>
      <c r="F30" s="21">
        <v>0.45</v>
      </c>
      <c r="G30" s="21">
        <v>99.7212176699474</v>
      </c>
      <c r="H30" s="21">
        <v>80.5676356145571</v>
      </c>
      <c r="I30" s="24">
        <v>652.356</v>
      </c>
      <c r="J30" s="21">
        <v>81.4984359502556</v>
      </c>
      <c r="K30" s="21">
        <v>0.45190547035935</v>
      </c>
      <c r="L30" s="22">
        <f t="shared" si="0"/>
        <v>34.0701</v>
      </c>
      <c r="M30" s="22">
        <v>34.4239</v>
      </c>
      <c r="N30" s="22">
        <v>33.8432</v>
      </c>
      <c r="O30" s="22">
        <v>33.9432</v>
      </c>
      <c r="P30" s="23">
        <f t="shared" si="1"/>
        <v>0.0171585429273828</v>
      </c>
    </row>
    <row r="31" ht="20" customHeight="1" spans="1:16">
      <c r="A31" s="20">
        <v>46238</v>
      </c>
      <c r="B31" s="21">
        <v>100</v>
      </c>
      <c r="C31" s="21">
        <v>80</v>
      </c>
      <c r="D31" s="25">
        <v>689</v>
      </c>
      <c r="E31" s="21">
        <v>200</v>
      </c>
      <c r="F31" s="21">
        <v>0.45</v>
      </c>
      <c r="G31" s="21">
        <v>99.7212176699474</v>
      </c>
      <c r="H31" s="21">
        <v>80.5619134813458</v>
      </c>
      <c r="I31" s="21">
        <v>712.689</v>
      </c>
      <c r="J31" s="21">
        <v>86.6750591287098</v>
      </c>
      <c r="K31" s="21">
        <v>0.451934081025406</v>
      </c>
      <c r="L31" s="22">
        <f t="shared" si="0"/>
        <v>35.2629</v>
      </c>
      <c r="M31" s="22">
        <v>35.3504</v>
      </c>
      <c r="N31" s="22">
        <v>35.1534</v>
      </c>
      <c r="O31" s="22">
        <v>35.2849</v>
      </c>
      <c r="P31" s="23">
        <f t="shared" si="1"/>
        <v>0.00560400985395446</v>
      </c>
    </row>
    <row r="32" ht="20" customHeight="1" spans="1:16">
      <c r="A32" s="20">
        <v>46238</v>
      </c>
      <c r="B32" s="21">
        <v>100</v>
      </c>
      <c r="C32" s="21">
        <v>80</v>
      </c>
      <c r="D32" s="21">
        <v>708</v>
      </c>
      <c r="E32" s="21">
        <v>200</v>
      </c>
      <c r="F32" s="21">
        <v>0.45</v>
      </c>
      <c r="G32" s="21">
        <v>99.7212176699474</v>
      </c>
      <c r="H32" s="21">
        <v>80.5561913481346</v>
      </c>
      <c r="I32" s="21">
        <v>732.600732600733</v>
      </c>
      <c r="J32" s="21">
        <v>89.6658274204623</v>
      </c>
      <c r="K32" s="21">
        <v>0.45190547035935</v>
      </c>
      <c r="L32" s="22">
        <f t="shared" si="0"/>
        <v>35.7190333333333</v>
      </c>
      <c r="M32" s="22">
        <v>36.294</v>
      </c>
      <c r="N32" s="22">
        <v>35.7302</v>
      </c>
      <c r="O32" s="22">
        <v>35.1329</v>
      </c>
      <c r="P32" s="23">
        <f t="shared" si="1"/>
        <v>0.0330487947194794</v>
      </c>
    </row>
    <row r="33" ht="20" customHeight="1" spans="1:16">
      <c r="A33" s="20">
        <v>46238</v>
      </c>
      <c r="B33" s="21">
        <v>100</v>
      </c>
      <c r="C33" s="21">
        <v>80</v>
      </c>
      <c r="D33" s="21">
        <v>735</v>
      </c>
      <c r="E33" s="21">
        <v>200</v>
      </c>
      <c r="F33" s="21">
        <v>0.45</v>
      </c>
      <c r="G33" s="21">
        <v>99.7212176699474</v>
      </c>
      <c r="H33" s="21">
        <v>80.5561913481346</v>
      </c>
      <c r="I33" s="21">
        <v>739.532</v>
      </c>
      <c r="J33" s="21">
        <v>90.18463416495</v>
      </c>
      <c r="K33" s="21">
        <v>0.45190547035935</v>
      </c>
      <c r="L33" s="22">
        <f t="shared" si="0"/>
        <v>36.038</v>
      </c>
      <c r="M33" s="22">
        <v>36.349</v>
      </c>
      <c r="N33" s="22">
        <v>35.342</v>
      </c>
      <c r="O33" s="22">
        <v>36.423</v>
      </c>
      <c r="P33" s="23">
        <f t="shared" si="1"/>
        <v>0.0305868371908778</v>
      </c>
    </row>
    <row r="34" ht="20" customHeight="1" spans="1:16">
      <c r="A34" s="26">
        <v>46238</v>
      </c>
      <c r="B34" s="27">
        <v>100</v>
      </c>
      <c r="C34" s="27">
        <v>80</v>
      </c>
      <c r="D34" s="27">
        <v>750</v>
      </c>
      <c r="E34" s="27">
        <v>200</v>
      </c>
      <c r="F34" s="27">
        <v>0.45</v>
      </c>
      <c r="G34" s="27">
        <v>99.7212176699474</v>
      </c>
      <c r="H34" s="27">
        <v>80.5447470817121</v>
      </c>
      <c r="I34" s="27">
        <v>754.578754578755</v>
      </c>
      <c r="J34" s="27">
        <v>92.6260776684215</v>
      </c>
      <c r="K34" s="27">
        <v>0.45190547035935</v>
      </c>
      <c r="L34" s="28">
        <f t="shared" si="0"/>
        <v>36.0272666666667</v>
      </c>
      <c r="M34" s="28">
        <v>36.4432</v>
      </c>
      <c r="N34" s="28">
        <v>35.7432</v>
      </c>
      <c r="O34" s="28">
        <v>35.8954</v>
      </c>
      <c r="P34" s="29">
        <f t="shared" si="1"/>
        <v>0.0195841446764698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重复Uc汇总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凌瑞</cp:lastModifiedBy>
  <dcterms:created xsi:type="dcterms:W3CDTF">2026-09-25T08:36:42Z</dcterms:created>
  <dcterms:modified xsi:type="dcterms:W3CDTF">2026-09-25T08:38:37Z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B66E20F15F654B32A695AFF1D7810145_12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